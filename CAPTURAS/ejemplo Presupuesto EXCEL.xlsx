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upue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 €"/>
    <numFmt numFmtId="61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15.83203125" customWidth="1"/>
    <col min="2" max="2" width="6.83203125" customWidth="1"/>
    <col min="3" max="3" width="60.83203125" customWidth="1"/>
    <col min="4" max="4" width="12.83203125" customWidth="1"/>
    <col min="5" max="5" width="12.83203125" customWidth="1"/>
    <col min="6" max="6" width="15.83203125" customWidth="1"/>
  </cols>
  <sheetData>
    <row r="1">
      <c r="A1" t="str">
        <v>Código</v>
      </c>
      <c r="B1" t="str">
        <v>Ud</v>
      </c>
      <c r="C1" t="str">
        <v>Resumen</v>
      </c>
      <c r="D1" t="str">
        <v>Cantidad</v>
      </c>
      <c r="E1" t="str">
        <v>Precio</v>
      </c>
      <c r="F1" t="str">
        <v>Importe</v>
      </c>
    </row>
    <row r="2">
      <c r="A2" t="str">
        <v>REHABILITACION_ABEGONDO</v>
      </c>
      <c r="B2" t="str">
        <v/>
      </c>
      <c r="C2" t="str">
        <v>Rehabilitacion de vivienda unifamiliar</v>
      </c>
      <c r="D2" t="str">
        <v/>
      </c>
      <c r="E2" t="str">
        <v/>
      </c>
      <c r="F2" s="1">
        <f>F3+F31+F39+F79+F95+F107+F144+F164+F216+F224+F231+F262+F269+F281+F290+F334</f>
      </c>
    </row>
    <row r="3">
      <c r="A3" t="str">
        <v>@SinRef</v>
      </c>
      <c r="B3" t="str">
        <v/>
      </c>
      <c r="C3" t="str">
        <v xml:space="preserve">   Conceptos no empleados en ninguna descomposición</v>
      </c>
      <c r="D3" t="str">
        <v/>
      </c>
      <c r="E3" t="str">
        <v/>
      </c>
      <c r="F3" s="1">
        <f>F4+F5+F6+F7+F8+F9+F10+F11+F12+F13+F14+F15+F16+F17+F18+F19+F20+F21+F22+F23+F24+F25+F26+F27+F28+F29+F30</f>
      </c>
    </row>
    <row r="4">
      <c r="A4" t="str">
        <v>EHX010</v>
      </c>
      <c r="B4" t="str">
        <v>m²</v>
      </c>
      <c r="C4" t="str">
        <v xml:space="preserve">      Forjado de losa mixta, canto 10 cm, con chapa colaborante</v>
      </c>
      <c r="D4" s="2">
        <v>0</v>
      </c>
      <c r="E4" s="1">
        <v>45.69</v>
      </c>
      <c r="F4" s="1">
        <f>D4*E4</f>
      </c>
    </row>
    <row r="5">
      <c r="A5" t="str">
        <v>ISS010</v>
      </c>
      <c r="B5" t="str">
        <v>m</v>
      </c>
      <c r="C5" t="str">
        <v xml:space="preserve">      Colector enterrado de PVC, serie B, de 160 mm de diámetro, unión</v>
      </c>
      <c r="D5" s="2">
        <v>0</v>
      </c>
      <c r="E5" s="1">
        <v>0</v>
      </c>
      <c r="F5" s="1">
        <f>D5*E5</f>
      </c>
    </row>
    <row r="6">
      <c r="A6" t="str">
        <v>PTZ010</v>
      </c>
      <c r="B6" t="str">
        <v>m²</v>
      </c>
      <c r="C6" t="str">
        <v xml:space="preserve">      Hoja de partición interior de 8 cm de espesor de fábrica de ladr</v>
      </c>
      <c r="D6" s="2">
        <v>0</v>
      </c>
      <c r="E6" s="1">
        <v>12.848700000000001</v>
      </c>
      <c r="F6" s="1">
        <f>D6*E6</f>
      </c>
    </row>
    <row r="7">
      <c r="A7" t="str">
        <v>RSG020b</v>
      </c>
      <c r="B7" t="str">
        <v>m</v>
      </c>
      <c r="C7" t="str">
        <v xml:space="preserve">      Rodapié cerámico de gres porcelánico</v>
      </c>
      <c r="D7" s="2">
        <v>0</v>
      </c>
      <c r="E7" s="1">
        <v>5.312199999999999</v>
      </c>
      <c r="F7" s="1">
        <f>D7*E7</f>
      </c>
    </row>
    <row r="8">
      <c r="A8" t="str">
        <v>SMS010c</v>
      </c>
      <c r="B8" t="str">
        <v>Ud</v>
      </c>
      <c r="C8" t="str">
        <v xml:space="preserve">      Conjunto de aparatos sanitarios para baño2</v>
      </c>
      <c r="D8" s="2">
        <v>0</v>
      </c>
      <c r="E8" s="1">
        <v>884.77</v>
      </c>
      <c r="F8" s="1">
        <f>D8*E8</f>
      </c>
    </row>
    <row r="9">
      <c r="A9" t="str">
        <v>YCB040</v>
      </c>
      <c r="B9" t="str">
        <v>Ud</v>
      </c>
      <c r="C9" t="str">
        <v xml:space="preserve">      Pasarela de acero, de 1,50 m de longitud para anchura máxima de</v>
      </c>
      <c r="D9" s="2">
        <v>0</v>
      </c>
      <c r="E9" s="1">
        <v>0</v>
      </c>
      <c r="F9" s="1">
        <f>D9*E9</f>
      </c>
    </row>
    <row r="10">
      <c r="A10" t="str">
        <v>YCF010</v>
      </c>
      <c r="B10" t="str">
        <v>m</v>
      </c>
      <c r="C10" t="str">
        <v xml:space="preserve">      Sistema provisional de protección de borde de forjado, clase A,</v>
      </c>
      <c r="D10" s="2">
        <v>0</v>
      </c>
      <c r="E10" s="1">
        <v>0</v>
      </c>
      <c r="F10" s="1">
        <f>D10*E10</f>
      </c>
    </row>
    <row r="11">
      <c r="A11" t="str">
        <v>YCK020</v>
      </c>
      <c r="B11" t="str">
        <v>Ud</v>
      </c>
      <c r="C11" t="str">
        <v xml:space="preserve">      Protección de hueco de ventana de entre 95 y 165 cm de anchura e</v>
      </c>
      <c r="D11" s="2">
        <v>0</v>
      </c>
      <c r="E11" s="1">
        <v>0</v>
      </c>
      <c r="F11" s="1">
        <f>D11*E11</f>
      </c>
    </row>
    <row r="12">
      <c r="A12" t="str">
        <v>YCM020</v>
      </c>
      <c r="B12" t="str">
        <v>m</v>
      </c>
      <c r="C12" t="str">
        <v xml:space="preserve">      Marquesina de protección del acceso al edificio ante la posible</v>
      </c>
      <c r="D12" s="2">
        <v>0</v>
      </c>
      <c r="E12" s="1">
        <v>0</v>
      </c>
      <c r="F12" s="1">
        <f>D12*E12</f>
      </c>
    </row>
    <row r="13">
      <c r="A13" t="str">
        <v>YCN010</v>
      </c>
      <c r="B13" t="str">
        <v>m</v>
      </c>
      <c r="C13" t="str">
        <v xml:space="preserve">      Pasarela peatonal en voladizo, de 0,60 m de anchura útil, de pro</v>
      </c>
      <c r="D13" s="2">
        <v>0</v>
      </c>
      <c r="E13" s="1">
        <v>0</v>
      </c>
      <c r="F13" s="1">
        <f>D13*E13</f>
      </c>
    </row>
    <row r="14">
      <c r="A14" t="str">
        <v>YCR020</v>
      </c>
      <c r="B14" t="str">
        <v>m</v>
      </c>
      <c r="C14" t="str">
        <v xml:space="preserve">      Vallado provisional de solar, de 2 m de altura, compuesto por pa</v>
      </c>
      <c r="D14" s="2">
        <v>0</v>
      </c>
      <c r="E14" s="1">
        <v>0</v>
      </c>
      <c r="F14" s="1">
        <f>D14*E14</f>
      </c>
    </row>
    <row r="15">
      <c r="A15" t="str">
        <v>YCV010</v>
      </c>
      <c r="B15" t="str">
        <v>m</v>
      </c>
      <c r="C15" t="str">
        <v xml:space="preserve">      Bajante para vertido de escombros, compuesta por 3 tubos y 1 emb</v>
      </c>
      <c r="D15" s="2">
        <v>0</v>
      </c>
      <c r="E15" s="1">
        <v>0</v>
      </c>
      <c r="F15" s="1">
        <f>D15*E15</f>
      </c>
    </row>
    <row r="16">
      <c r="A16" t="str">
        <v>YIC010b</v>
      </c>
      <c r="B16" t="str">
        <v>Ud</v>
      </c>
      <c r="C16" t="str">
        <v xml:space="preserve">      Casco aislante eléctrico, amortizable en 10 usos.</v>
      </c>
      <c r="D16" s="2">
        <v>0</v>
      </c>
      <c r="E16" s="1">
        <v>0</v>
      </c>
      <c r="F16" s="1">
        <f>D16*E16</f>
      </c>
    </row>
    <row r="17">
      <c r="A17" t="str">
        <v>YID010</v>
      </c>
      <c r="B17" t="str">
        <v>Ud</v>
      </c>
      <c r="C17" t="str">
        <v xml:space="preserve">      Sistema anticaídas compuesto por un conector básico (clase B), a</v>
      </c>
      <c r="D17" s="2">
        <v>0</v>
      </c>
      <c r="E17" s="1">
        <v>0</v>
      </c>
      <c r="F17" s="1">
        <f>D17*E17</f>
      </c>
    </row>
    <row r="18">
      <c r="A18" t="str">
        <v>YID020</v>
      </c>
      <c r="B18" t="str">
        <v>Ud</v>
      </c>
      <c r="C18" t="str">
        <v xml:space="preserve">      Sistema de sujeción y retención compuesto por un conector básico</v>
      </c>
      <c r="D18" s="2">
        <v>0</v>
      </c>
      <c r="E18" s="1">
        <v>0</v>
      </c>
      <c r="F18" s="1">
        <f>D18*E18</f>
      </c>
    </row>
    <row r="19">
      <c r="A19" t="str">
        <v>YIJ010b</v>
      </c>
      <c r="B19" t="str">
        <v>Ud</v>
      </c>
      <c r="C19" t="str">
        <v xml:space="preserve">      Gafas de protección con montura integral, resistentes a impactos</v>
      </c>
      <c r="D19" s="2">
        <v>0</v>
      </c>
      <c r="E19" s="1">
        <v>0</v>
      </c>
      <c r="F19" s="1">
        <f>D19*E19</f>
      </c>
    </row>
    <row r="20">
      <c r="A20" t="str">
        <v>YIM010c</v>
      </c>
      <c r="B20" t="str">
        <v>Ud</v>
      </c>
      <c r="C20" t="str">
        <v xml:space="preserve">      Par de guantes resistentes al fuego amortizable en 4 usos.</v>
      </c>
      <c r="D20" s="2">
        <v>0</v>
      </c>
      <c r="E20" s="1">
        <v>0</v>
      </c>
      <c r="F20" s="1">
        <f>D20*E20</f>
      </c>
    </row>
    <row r="21">
      <c r="A21" t="str">
        <v>YIM020</v>
      </c>
      <c r="B21" t="str">
        <v>Ud</v>
      </c>
      <c r="C21" t="str">
        <v xml:space="preserve">      Par de manoplas resistentes al fuego amortizable en 4 usos.</v>
      </c>
      <c r="D21" s="2">
        <v>0</v>
      </c>
      <c r="E21" s="1">
        <v>0</v>
      </c>
      <c r="F21" s="1">
        <f>D21*E21</f>
      </c>
    </row>
    <row r="22">
      <c r="A22" t="str">
        <v>YIP010c</v>
      </c>
      <c r="B22" t="str">
        <v>Ud</v>
      </c>
      <c r="C22" t="str">
        <v xml:space="preserve">      Par de zapatos de trabajo, con resistencia al deslizamiento, zon</v>
      </c>
      <c r="D22" s="2">
        <v>0</v>
      </c>
      <c r="E22" s="1">
        <v>0</v>
      </c>
      <c r="F22" s="1">
        <f>D22*E22</f>
      </c>
    </row>
    <row r="23">
      <c r="A23" t="str">
        <v>YIU010</v>
      </c>
      <c r="B23" t="str">
        <v>Ud</v>
      </c>
      <c r="C23" t="str">
        <v xml:space="preserve">      Mono de protección para trabajos expuestos al calor o las llamas</v>
      </c>
      <c r="D23" s="2">
        <v>0</v>
      </c>
      <c r="E23" s="1">
        <v>0</v>
      </c>
      <c r="F23" s="1">
        <f>D23*E23</f>
      </c>
    </row>
    <row r="24">
      <c r="A24" t="str">
        <v>op00ato010</v>
      </c>
      <c r="B24" t="str">
        <v/>
      </c>
      <c r="C24" t="str">
        <v xml:space="preserve">      Atornillador.</v>
      </c>
      <c r="D24" s="2">
        <v>0</v>
      </c>
      <c r="E24" s="1">
        <v>0</v>
      </c>
      <c r="F24" s="1">
        <f>D24*E24</f>
      </c>
    </row>
    <row r="25">
      <c r="A25" t="str">
        <v>op00cep010</v>
      </c>
      <c r="B25" t="str">
        <v/>
      </c>
      <c r="C25" t="str">
        <v xml:space="preserve">      Garlopa.</v>
      </c>
      <c r="D25" s="2">
        <v>0</v>
      </c>
      <c r="E25" s="1">
        <v>0</v>
      </c>
      <c r="F25" s="1">
        <f>D25*E25</f>
      </c>
    </row>
    <row r="26">
      <c r="A26" t="str">
        <v>op00cla010</v>
      </c>
      <c r="B26" t="str">
        <v/>
      </c>
      <c r="C26" t="str">
        <v xml:space="preserve">      Clavadora.</v>
      </c>
      <c r="D26" s="2">
        <v>0</v>
      </c>
      <c r="E26" s="1">
        <v>0</v>
      </c>
      <c r="F26" s="1">
        <f>D26*E26</f>
      </c>
    </row>
    <row r="27">
      <c r="A27" t="str">
        <v>op00fre010</v>
      </c>
      <c r="B27" t="str">
        <v/>
      </c>
      <c r="C27" t="str">
        <v xml:space="preserve">      Fresadora.</v>
      </c>
      <c r="D27" s="2">
        <v>0</v>
      </c>
      <c r="E27" s="1">
        <v>0</v>
      </c>
      <c r="F27" s="1">
        <f>D27*E27</f>
      </c>
    </row>
    <row r="28">
      <c r="A28" t="str">
        <v>op00gra010</v>
      </c>
      <c r="B28" t="str">
        <v/>
      </c>
      <c r="C28" t="str">
        <v xml:space="preserve">      Grapadora.</v>
      </c>
      <c r="D28" s="2">
        <v>0</v>
      </c>
      <c r="E28" s="1">
        <v>0</v>
      </c>
      <c r="F28" s="1">
        <f>D28*E28</f>
      </c>
    </row>
    <row r="29">
      <c r="A29" t="str">
        <v>op00roz010</v>
      </c>
      <c r="B29" t="str">
        <v/>
      </c>
      <c r="C29" t="str">
        <v xml:space="preserve">      Rozadora.</v>
      </c>
      <c r="D29" s="2">
        <v>0</v>
      </c>
      <c r="E29" s="1">
        <v>0</v>
      </c>
      <c r="F29" s="1">
        <f>D29*E29</f>
      </c>
    </row>
    <row r="30">
      <c r="A30" t="str">
        <v>op00sie010</v>
      </c>
      <c r="B30" t="str">
        <v/>
      </c>
      <c r="C30" t="str">
        <v xml:space="preserve">      Sierra de calar.</v>
      </c>
      <c r="D30" s="2">
        <v>0</v>
      </c>
      <c r="E30" s="1">
        <v>0</v>
      </c>
      <c r="F30" s="1">
        <f>D30*E30</f>
      </c>
    </row>
    <row r="31">
      <c r="A31" t="str">
        <v>0</v>
      </c>
      <c r="B31" t="str">
        <v/>
      </c>
      <c r="C31" t="str">
        <v xml:space="preserve">   Actuaciones previas</v>
      </c>
      <c r="D31" t="str">
        <v/>
      </c>
      <c r="E31" t="str">
        <v/>
      </c>
      <c r="F31" s="1">
        <f>F32+F36</f>
      </c>
    </row>
    <row r="32">
      <c r="A32" t="str">
        <v>0A</v>
      </c>
      <c r="B32" t="str">
        <v/>
      </c>
      <c r="C32" t="str">
        <v xml:space="preserve">      Desconexión de acometidas</v>
      </c>
      <c r="D32" t="str">
        <v/>
      </c>
      <c r="E32" t="str">
        <v/>
      </c>
      <c r="F32" s="1">
        <f>F33+F34+F35</f>
      </c>
    </row>
    <row r="33">
      <c r="A33" t="str">
        <v>0AS010</v>
      </c>
      <c r="B33" t="str">
        <v>Ud</v>
      </c>
      <c r="C33" t="str">
        <v xml:space="preserve">         Desconexión de acometida de la instalación de saneamiento del ed</v>
      </c>
      <c r="D33" s="2">
        <v>1</v>
      </c>
      <c r="E33" s="1">
        <v>41.8588</v>
      </c>
      <c r="F33" s="1">
        <f>D33*E33</f>
      </c>
    </row>
    <row r="34">
      <c r="A34" t="str">
        <v>0AE010</v>
      </c>
      <c r="B34" t="str">
        <v>Ud</v>
      </c>
      <c r="C34" t="str">
        <v xml:space="preserve">         Desconexión de acometida aérea de la instalación eléctrica del e</v>
      </c>
      <c r="D34" s="2">
        <v>1</v>
      </c>
      <c r="E34" s="1">
        <v>57.123599999999996</v>
      </c>
      <c r="F34" s="1">
        <f>D34*E34</f>
      </c>
    </row>
    <row r="35">
      <c r="A35" t="str">
        <v>0AF010</v>
      </c>
      <c r="B35" t="str">
        <v>Ud</v>
      </c>
      <c r="C35" t="str">
        <v xml:space="preserve">         Desconexión de acometida de la red de agua potable del edificio.</v>
      </c>
      <c r="D35" s="2">
        <v>1</v>
      </c>
      <c r="E35" s="1">
        <v>14.202</v>
      </c>
      <c r="F35" s="1">
        <f>D35*E35</f>
      </c>
    </row>
    <row r="36">
      <c r="A36" t="str">
        <v>0D</v>
      </c>
      <c r="B36" t="str">
        <v/>
      </c>
      <c r="C36" t="str">
        <v xml:space="preserve">      Desratización, desinfección y eliminación de plantas</v>
      </c>
      <c r="D36" t="str">
        <v/>
      </c>
      <c r="E36" t="str">
        <v/>
      </c>
      <c r="F36" s="1">
        <f>F37+F38</f>
      </c>
    </row>
    <row r="37">
      <c r="A37" t="str">
        <v>0DP030</v>
      </c>
      <c r="B37" t="str">
        <v>m²</v>
      </c>
      <c r="C37" t="str">
        <v xml:space="preserve">         Limpieza de arbustos y hierbas sitas en paramento vertical.</v>
      </c>
      <c r="D37" s="2">
        <v>100</v>
      </c>
      <c r="E37" s="1">
        <v>0.6546000000000001</v>
      </c>
      <c r="F37" s="1">
        <f>D37*E37</f>
      </c>
    </row>
    <row r="38">
      <c r="A38" t="str">
        <v>0DP020</v>
      </c>
      <c r="B38" t="str">
        <v>m²</v>
      </c>
      <c r="C38" t="str">
        <v xml:space="preserve">         Desbroce de arbustos y hierbas, en el interior y en el exterior</v>
      </c>
      <c r="D38" s="2">
        <v>1200</v>
      </c>
      <c r="E38" s="1">
        <v>0.35000000000000003</v>
      </c>
      <c r="F38" s="1">
        <f>D38*E38</f>
      </c>
    </row>
    <row r="39">
      <c r="A39" t="str">
        <v>D</v>
      </c>
      <c r="B39" t="str">
        <v/>
      </c>
      <c r="C39" t="str">
        <v xml:space="preserve">   Demoliciones</v>
      </c>
      <c r="D39" t="str">
        <v/>
      </c>
      <c r="E39" t="str">
        <v/>
      </c>
      <c r="F39" s="1">
        <f>F40+F47+F54+F59+F65+F71+F75</f>
      </c>
    </row>
    <row r="40">
      <c r="A40" t="str">
        <v>DE</v>
      </c>
      <c r="B40" t="str">
        <v/>
      </c>
      <c r="C40" t="str">
        <v xml:space="preserve">      Estructuras</v>
      </c>
      <c r="D40" t="str">
        <v/>
      </c>
      <c r="E40" t="str">
        <v/>
      </c>
      <c r="F40" s="1">
        <f>F41+F42+F43+F44+F45+F46</f>
      </c>
    </row>
    <row r="41">
      <c r="A41" t="str">
        <v>DEC040</v>
      </c>
      <c r="B41" t="str">
        <v>m³</v>
      </c>
      <c r="C41" t="str">
        <v xml:space="preserve">         Demolición de pilastra de mampostería</v>
      </c>
      <c r="D41" s="2">
        <v>2.66</v>
      </c>
      <c r="E41" s="1">
        <v>44.70400000000001</v>
      </c>
      <c r="F41" s="1">
        <f>D41*E41</f>
      </c>
    </row>
    <row r="42">
      <c r="A42" t="str">
        <v>DEM020</v>
      </c>
      <c r="B42" t="str">
        <v>m²</v>
      </c>
      <c r="C42" t="str">
        <v xml:space="preserve">         Demolición de forjado de viguetas de madera con entarimado</v>
      </c>
      <c r="D42" s="2">
        <v>119.31</v>
      </c>
      <c r="E42" s="1">
        <v>7.2636</v>
      </c>
      <c r="F42" s="1">
        <f>D42*E42</f>
      </c>
    </row>
    <row r="43">
      <c r="A43" t="str">
        <v>DEM050</v>
      </c>
      <c r="B43" t="str">
        <v>m</v>
      </c>
      <c r="C43" t="str">
        <v xml:space="preserve">         Demolición de viga de madera</v>
      </c>
      <c r="D43" s="2">
        <v>126.1</v>
      </c>
      <c r="E43" s="1">
        <v>5.3711</v>
      </c>
      <c r="F43" s="1">
        <f>D43*E43</f>
      </c>
    </row>
    <row r="44">
      <c r="A44" t="str">
        <v>DEM060</v>
      </c>
      <c r="B44" t="str">
        <v>m²</v>
      </c>
      <c r="C44" t="str">
        <v xml:space="preserve">         Demolición de escalera de madera</v>
      </c>
      <c r="D44" s="2">
        <v>8.8</v>
      </c>
      <c r="E44" s="1">
        <v>5.131800000000001</v>
      </c>
      <c r="F44" s="1">
        <f>D44*E44</f>
      </c>
    </row>
    <row r="45">
      <c r="A45" t="str">
        <v>DEM130b</v>
      </c>
      <c r="B45" t="str">
        <v>m</v>
      </c>
      <c r="C45" t="str">
        <v xml:space="preserve">         Desmontaje de can de 15x15 cm de sección</v>
      </c>
      <c r="D45" s="2">
        <v>5</v>
      </c>
      <c r="E45" s="1">
        <v>48.03060000000001</v>
      </c>
      <c r="F45" s="1">
        <f>D45*E45</f>
      </c>
    </row>
    <row r="46">
      <c r="A46" t="str">
        <v>DEH020</v>
      </c>
      <c r="B46" t="str">
        <v>m²</v>
      </c>
      <c r="C46" t="str">
        <v xml:space="preserve">         Demolición de losa maciza de hormigón</v>
      </c>
      <c r="D46" s="2">
        <v>10.9</v>
      </c>
      <c r="E46" s="1">
        <v>18.4189</v>
      </c>
      <c r="F46" s="1">
        <f>D46*E46</f>
      </c>
    </row>
    <row r="47">
      <c r="A47" t="str">
        <v>DF</v>
      </c>
      <c r="B47" t="str">
        <v/>
      </c>
      <c r="C47" t="str">
        <v xml:space="preserve">      Fachadas</v>
      </c>
      <c r="D47" t="str">
        <v/>
      </c>
      <c r="E47" t="str">
        <v/>
      </c>
      <c r="F47" s="1">
        <f>F48+F49+F50+F51+F52+F53</f>
      </c>
    </row>
    <row r="48">
      <c r="A48" t="str">
        <v>DFC010</v>
      </c>
      <c r="B48" t="str">
        <v>Ud</v>
      </c>
      <c r="C48" t="str">
        <v xml:space="preserve">         Levantado de carpintería acristalada de madera</v>
      </c>
      <c r="D48" s="2">
        <v>19</v>
      </c>
      <c r="E48" s="1">
        <v>3.3528000000000002</v>
      </c>
      <c r="F48" s="1">
        <f>D48*E48</f>
      </c>
    </row>
    <row r="49">
      <c r="A49" t="str">
        <v>DFD020</v>
      </c>
      <c r="B49" t="str">
        <v>m</v>
      </c>
      <c r="C49" t="str">
        <v xml:space="preserve">         Levantado de barandilla metálica recta, de 100 cm de altura</v>
      </c>
      <c r="D49" s="2">
        <v>11.8</v>
      </c>
      <c r="E49" s="1">
        <v>2.7672</v>
      </c>
      <c r="F49" s="1">
        <f>D49*E49</f>
      </c>
    </row>
    <row r="50">
      <c r="A50" t="str">
        <v>DFD090</v>
      </c>
      <c r="B50" t="str">
        <v>m²</v>
      </c>
      <c r="C50" t="str">
        <v xml:space="preserve">         Desmontaje de contraventana de madera</v>
      </c>
      <c r="D50" s="2">
        <v>19</v>
      </c>
      <c r="E50" s="1">
        <v>2.1154</v>
      </c>
      <c r="F50" s="1">
        <f>D50*E50</f>
      </c>
    </row>
    <row r="51">
      <c r="A51" t="str">
        <v>DFR080</v>
      </c>
      <c r="B51" t="str">
        <v>m</v>
      </c>
      <c r="C51" t="str">
        <v xml:space="preserve">         Demolición de cornisa de piedra natural</v>
      </c>
      <c r="D51" s="2">
        <v>74.95</v>
      </c>
      <c r="E51" s="1">
        <v>3.8025</v>
      </c>
      <c r="F51" s="1">
        <f>D51*E51</f>
      </c>
    </row>
    <row r="52">
      <c r="A52" t="str">
        <v>DPT020b</v>
      </c>
      <c r="B52" t="str">
        <v>m²</v>
      </c>
      <c r="C52" t="str">
        <v xml:space="preserve">         Demolición de muror de bloque de hormigón</v>
      </c>
      <c r="D52" s="2">
        <v>172.22</v>
      </c>
      <c r="E52" s="1">
        <v>3.0734000000000004</v>
      </c>
      <c r="F52" s="1">
        <f>D52*E52</f>
      </c>
    </row>
    <row r="53">
      <c r="A53" t="str">
        <v>DEF041</v>
      </c>
      <c r="B53" t="str">
        <v>m³</v>
      </c>
      <c r="C53" t="str">
        <v xml:space="preserve">         Apertura de hueco en muro de piedra</v>
      </c>
      <c r="D53" s="2">
        <v>11.08</v>
      </c>
      <c r="E53" s="1">
        <v>59.4697</v>
      </c>
      <c r="F53" s="1">
        <f>D53*E53</f>
      </c>
    </row>
    <row r="54">
      <c r="A54" t="str">
        <v>DP</v>
      </c>
      <c r="B54" t="str">
        <v/>
      </c>
      <c r="C54" t="str">
        <v xml:space="preserve">      Particiones y trasdosados</v>
      </c>
      <c r="D54" t="str">
        <v/>
      </c>
      <c r="E54" t="str">
        <v/>
      </c>
      <c r="F54" s="1">
        <f>F55+F56+F57+F58</f>
      </c>
    </row>
    <row r="55">
      <c r="A55" t="str">
        <v>DPE100</v>
      </c>
      <c r="B55" t="str">
        <v>Ud</v>
      </c>
      <c r="C55" t="str">
        <v xml:space="preserve">         Levantado de portón de madera</v>
      </c>
      <c r="D55" s="2">
        <v>1</v>
      </c>
      <c r="E55" s="1">
        <v>23.929100000000002</v>
      </c>
      <c r="F55" s="1">
        <f>D55*E55</f>
      </c>
    </row>
    <row r="56">
      <c r="A56" t="str">
        <v>DPE010</v>
      </c>
      <c r="B56" t="str">
        <v>m²</v>
      </c>
      <c r="C56" t="str">
        <v xml:space="preserve">         Levantado de carpintería de madera de puerta</v>
      </c>
      <c r="D56" s="2">
        <v>3</v>
      </c>
      <c r="E56" s="1">
        <v>4.8348</v>
      </c>
      <c r="F56" s="1">
        <f>D56*E56</f>
      </c>
    </row>
    <row r="57">
      <c r="A57" t="str">
        <v>DPP020</v>
      </c>
      <c r="B57" t="str">
        <v>Ud</v>
      </c>
      <c r="C57" t="str">
        <v xml:space="preserve">         Desmontaje de hoja de puerta interior</v>
      </c>
      <c r="D57" s="2">
        <v>12</v>
      </c>
      <c r="E57" s="1">
        <v>2.0664000000000002</v>
      </c>
      <c r="F57" s="1">
        <f>D57*E57</f>
      </c>
    </row>
    <row r="58">
      <c r="A58" t="str">
        <v>DPT020</v>
      </c>
      <c r="B58" t="str">
        <v>m²</v>
      </c>
      <c r="C58" t="str">
        <v xml:space="preserve">         Demolición de partición interior de fábrica revestida</v>
      </c>
      <c r="D58" s="2">
        <v>194.18</v>
      </c>
      <c r="E58" s="1">
        <v>1.8161</v>
      </c>
      <c r="F58" s="1">
        <f>D58*E58</f>
      </c>
    </row>
    <row r="59">
      <c r="A59" t="str">
        <v>DI</v>
      </c>
      <c r="B59" t="str">
        <v/>
      </c>
      <c r="C59" t="str">
        <v xml:space="preserve">      Instalaciones</v>
      </c>
      <c r="D59" t="str">
        <v/>
      </c>
      <c r="E59" t="str">
        <v/>
      </c>
      <c r="F59" s="1">
        <f>F60+F61+F62+F63+F64</f>
      </c>
    </row>
    <row r="60">
      <c r="A60" t="str">
        <v>DIC100</v>
      </c>
      <c r="B60" t="str">
        <v>Ud</v>
      </c>
      <c r="C60" t="str">
        <v xml:space="preserve">         Desmontaje de instalación de calefacción</v>
      </c>
      <c r="D60" s="2">
        <v>1</v>
      </c>
      <c r="E60" s="1">
        <v>84.5454</v>
      </c>
      <c r="F60" s="1">
        <f>D60*E60</f>
      </c>
    </row>
    <row r="61">
      <c r="A61" t="str">
        <v>DIE060</v>
      </c>
      <c r="B61" t="str">
        <v>Ud</v>
      </c>
      <c r="C61" t="str">
        <v xml:space="preserve">         Desmontaje de red de instalación eléctrica</v>
      </c>
      <c r="D61" s="2">
        <v>1</v>
      </c>
      <c r="E61" s="1">
        <v>68.6613</v>
      </c>
      <c r="F61" s="1">
        <f>D61*E61</f>
      </c>
    </row>
    <row r="62">
      <c r="A62" t="str">
        <v>DIE010</v>
      </c>
      <c r="B62" t="str">
        <v>Ud</v>
      </c>
      <c r="C62" t="str">
        <v xml:space="preserve">         Desmontaje de caja de protección y medida</v>
      </c>
      <c r="D62" s="2">
        <v>1</v>
      </c>
      <c r="E62" s="1">
        <v>4.4601999999999995</v>
      </c>
      <c r="F62" s="1">
        <f>D62*E62</f>
      </c>
    </row>
    <row r="63">
      <c r="A63" t="str">
        <v>DIE011</v>
      </c>
      <c r="B63" t="str">
        <v>Ud</v>
      </c>
      <c r="C63" t="str">
        <v xml:space="preserve">         Desmontaje de contador eléctrico individual</v>
      </c>
      <c r="D63" s="2">
        <v>1</v>
      </c>
      <c r="E63" s="1">
        <v>5.5416</v>
      </c>
      <c r="F63" s="1">
        <f>D63*E63</f>
      </c>
    </row>
    <row r="64">
      <c r="A64" t="str">
        <v>DIF105</v>
      </c>
      <c r="B64" t="str">
        <v>Ud</v>
      </c>
      <c r="C64" t="str">
        <v xml:space="preserve">         Desmontaje de red de instalación interior de agua</v>
      </c>
      <c r="D64" s="2">
        <v>1</v>
      </c>
      <c r="E64" s="1">
        <v>98.77</v>
      </c>
      <c r="F64" s="1">
        <f>D64*E64</f>
      </c>
    </row>
    <row r="65">
      <c r="A65" t="str">
        <v>DQ</v>
      </c>
      <c r="B65" t="str">
        <v/>
      </c>
      <c r="C65" t="str">
        <v xml:space="preserve">      Cubiertas</v>
      </c>
      <c r="D65" t="str">
        <v/>
      </c>
      <c r="E65" t="str">
        <v/>
      </c>
      <c r="F65" s="1">
        <f>F66+F67+F68+F69+F70</f>
      </c>
    </row>
    <row r="66">
      <c r="A66" t="str">
        <v>DQC040</v>
      </c>
      <c r="B66" t="str">
        <v>m²</v>
      </c>
      <c r="C66" t="str">
        <v xml:space="preserve">         Arranque de cobertura de teja cerámica curva</v>
      </c>
      <c r="D66" s="2">
        <v>430.02</v>
      </c>
      <c r="E66" s="1">
        <v>1.4625000000000001</v>
      </c>
      <c r="F66" s="1">
        <f>D66*E66</f>
      </c>
    </row>
    <row r="67">
      <c r="A67" t="str">
        <v>DQF030</v>
      </c>
      <c r="B67" t="str">
        <v>m²</v>
      </c>
      <c r="C67" t="str">
        <v xml:space="preserve">         Desmontaje de solera de tablero</v>
      </c>
      <c r="D67" s="2">
        <v>273.84</v>
      </c>
      <c r="E67" s="1">
        <v>1.1176000000000001</v>
      </c>
      <c r="F67" s="1">
        <f>D67*E67</f>
      </c>
    </row>
    <row r="68">
      <c r="A68" t="str">
        <v>DQF040</v>
      </c>
      <c r="B68" t="str">
        <v>m²</v>
      </c>
      <c r="C68" t="str">
        <v xml:space="preserve">         Desmontaje de enrastrelado simple</v>
      </c>
      <c r="D68" s="2">
        <v>273.84</v>
      </c>
      <c r="E68" s="1">
        <v>1.9558000000000002</v>
      </c>
      <c r="F68" s="1">
        <f>D68*E68</f>
      </c>
    </row>
    <row r="69">
      <c r="A69" t="str">
        <v>DQC030</v>
      </c>
      <c r="B69" t="str">
        <v>m²</v>
      </c>
      <c r="C69" t="str">
        <v xml:space="preserve">         Desmontaje de cobertura de placas de fibrocemento</v>
      </c>
      <c r="D69" s="2">
        <v>142.89</v>
      </c>
      <c r="E69" s="1">
        <v>9.86</v>
      </c>
      <c r="F69" s="1">
        <f>D69*E69</f>
      </c>
    </row>
    <row r="70">
      <c r="A70" t="str">
        <v>DQR010</v>
      </c>
      <c r="B70" t="str">
        <v>Ud</v>
      </c>
      <c r="C70" t="str">
        <v xml:space="preserve">         Demolición de forrado de conductos de instalaciones</v>
      </c>
      <c r="D70" s="2">
        <v>3</v>
      </c>
      <c r="E70" s="1">
        <v>9.341299999999999</v>
      </c>
      <c r="F70" s="1">
        <f>D70*E70</f>
      </c>
    </row>
    <row r="71">
      <c r="A71" t="str">
        <v>DR</v>
      </c>
      <c r="B71" t="str">
        <v/>
      </c>
      <c r="C71" t="str">
        <v xml:space="preserve">      Revestimientos</v>
      </c>
      <c r="D71" t="str">
        <v/>
      </c>
      <c r="E71" t="str">
        <v/>
      </c>
      <c r="F71" s="1">
        <f>F72+F73+F74</f>
      </c>
    </row>
    <row r="72">
      <c r="A72" t="str">
        <v>DRF010</v>
      </c>
      <c r="B72" t="str">
        <v>m²</v>
      </c>
      <c r="C72" t="str">
        <v xml:space="preserve">         Picado de enfoscado de cal y cemento</v>
      </c>
      <c r="D72" s="2">
        <v>306.59</v>
      </c>
      <c r="E72" s="1">
        <v>3.4925</v>
      </c>
      <c r="F72" s="1">
        <f>D72*E72</f>
      </c>
    </row>
    <row r="73">
      <c r="A73" t="str">
        <v>DRS080</v>
      </c>
      <c r="B73" t="str">
        <v>m²</v>
      </c>
      <c r="C73" t="str">
        <v xml:space="preserve">         Demolición de base para pavimento</v>
      </c>
      <c r="D73" s="2">
        <v>192.2</v>
      </c>
      <c r="E73" s="1">
        <v>1.8357</v>
      </c>
      <c r="F73" s="1">
        <f>D73*E73</f>
      </c>
    </row>
    <row r="74">
      <c r="A74" t="str">
        <v>DRT010</v>
      </c>
      <c r="B74" t="str">
        <v>m²</v>
      </c>
      <c r="C74" t="str">
        <v xml:space="preserve">         Arranque de cielo raso de cañizo</v>
      </c>
      <c r="D74" s="2">
        <v>84.2</v>
      </c>
      <c r="E74" s="1">
        <v>1.9558000000000002</v>
      </c>
      <c r="F74" s="1">
        <f>D74*E74</f>
      </c>
    </row>
    <row r="75">
      <c r="A75" t="str">
        <v>DS</v>
      </c>
      <c r="B75" t="str">
        <v/>
      </c>
      <c r="C75" t="str">
        <v xml:space="preserve">      Equipamiento</v>
      </c>
      <c r="D75" t="str">
        <v/>
      </c>
      <c r="E75" t="str">
        <v/>
      </c>
      <c r="F75" s="1">
        <f>F76+F77+F78</f>
      </c>
    </row>
    <row r="76">
      <c r="A76" t="str">
        <v>DSC020</v>
      </c>
      <c r="B76" t="str">
        <v>m</v>
      </c>
      <c r="C76" t="str">
        <v xml:space="preserve">         Desmontaje de conjunto de mobiliario de cocina</v>
      </c>
      <c r="D76" s="2">
        <v>5.1</v>
      </c>
      <c r="E76" s="1">
        <v>15.025500000000001</v>
      </c>
      <c r="F76" s="1">
        <f>D76*E76</f>
      </c>
    </row>
    <row r="77">
      <c r="A77" t="str">
        <v>DSM010</v>
      </c>
      <c r="B77" t="str">
        <v>Ud</v>
      </c>
      <c r="C77" t="str">
        <v xml:space="preserve">         Desmontaje de lavabo</v>
      </c>
      <c r="D77" s="2">
        <v>1</v>
      </c>
      <c r="E77" s="1">
        <v>6.824400000000001</v>
      </c>
      <c r="F77" s="1">
        <f>D77*E77</f>
      </c>
    </row>
    <row r="78">
      <c r="A78" t="str">
        <v>DSM010b</v>
      </c>
      <c r="B78" t="str">
        <v>Ud</v>
      </c>
      <c r="C78" t="str">
        <v xml:space="preserve">         Desmontaje de inodoro</v>
      </c>
      <c r="D78" s="2">
        <v>1</v>
      </c>
      <c r="E78" s="1">
        <v>6.7209</v>
      </c>
      <c r="F78" s="1">
        <f>D78*E78</f>
      </c>
    </row>
    <row r="79">
      <c r="A79" t="str">
        <v>A</v>
      </c>
      <c r="B79" t="str">
        <v/>
      </c>
      <c r="C79" t="str">
        <v xml:space="preserve">   Acondicionamiento del terreno</v>
      </c>
      <c r="D79" t="str">
        <v/>
      </c>
      <c r="E79" t="str">
        <v/>
      </c>
      <c r="F79" s="1">
        <f>F80+F84+F90</f>
      </c>
    </row>
    <row r="80">
      <c r="A80" t="str">
        <v>AD</v>
      </c>
      <c r="B80" t="str">
        <v/>
      </c>
      <c r="C80" t="str">
        <v xml:space="preserve">      Movimiento de tierras</v>
      </c>
      <c r="D80" t="str">
        <v/>
      </c>
      <c r="E80" t="str">
        <v/>
      </c>
      <c r="F80" s="1">
        <f>F81+F82+F83</f>
      </c>
    </row>
    <row r="81">
      <c r="A81" t="str">
        <v>ADL005</v>
      </c>
      <c r="B81" t="str">
        <v>m²</v>
      </c>
      <c r="C81" t="str">
        <v xml:space="preserve">         Desbroce y limpieza del terreno</v>
      </c>
      <c r="D81" s="2">
        <v>93.84</v>
      </c>
      <c r="E81" s="1">
        <v>2.1447</v>
      </c>
      <c r="F81" s="1">
        <f>D81*E81</f>
      </c>
    </row>
    <row r="82">
      <c r="A82" t="str">
        <v>ADE010</v>
      </c>
      <c r="B82" t="str">
        <v>m³</v>
      </c>
      <c r="C82" t="str">
        <v xml:space="preserve">         Excavación en zanjas</v>
      </c>
      <c r="D82" s="2">
        <v>35.54</v>
      </c>
      <c r="E82" s="1">
        <v>12.573</v>
      </c>
      <c r="F82" s="1">
        <f>D82*E82</f>
      </c>
    </row>
    <row r="83">
      <c r="A83" t="str">
        <v>ADR010</v>
      </c>
      <c r="B83" t="str">
        <v>m³</v>
      </c>
      <c r="C83" t="str">
        <v xml:space="preserve">         Relleno principal de zanjas</v>
      </c>
      <c r="D83" s="2">
        <v>12.27</v>
      </c>
      <c r="E83" s="1">
        <v>2.5281000000000002</v>
      </c>
      <c r="F83" s="1">
        <f>D83*E83</f>
      </c>
    </row>
    <row r="84">
      <c r="A84" t="str">
        <v>AS</v>
      </c>
      <c r="B84" t="str">
        <v/>
      </c>
      <c r="C84" t="str">
        <v xml:space="preserve">      Red de saneamiento horizontal</v>
      </c>
      <c r="D84" t="str">
        <v/>
      </c>
      <c r="E84" t="str">
        <v/>
      </c>
      <c r="F84" s="1">
        <f>F85+F86+F87+F88+F89</f>
      </c>
    </row>
    <row r="85">
      <c r="A85" t="str">
        <v>ASA010</v>
      </c>
      <c r="B85" t="str">
        <v>Ud</v>
      </c>
      <c r="C85" t="str">
        <v xml:space="preserve">         Arqueta de paso, de obra de fábrica</v>
      </c>
      <c r="D85" s="2">
        <v>2</v>
      </c>
      <c r="E85" s="1">
        <v>42.6033</v>
      </c>
      <c r="F85" s="1">
        <f>D85*E85</f>
      </c>
    </row>
    <row r="86">
      <c r="A86" t="str">
        <v>ASB010</v>
      </c>
      <c r="B86" t="str">
        <v>m</v>
      </c>
      <c r="C86" t="str">
        <v xml:space="preserve">         Acometida general de saneamiento</v>
      </c>
      <c r="D86" s="2">
        <v>2</v>
      </c>
      <c r="E86" s="1">
        <v>36.52560000000001</v>
      </c>
      <c r="F86" s="1">
        <f>D86*E86</f>
      </c>
    </row>
    <row r="87">
      <c r="A87" t="str">
        <v>ASB020</v>
      </c>
      <c r="B87" t="str">
        <v>Ud</v>
      </c>
      <c r="C87" t="str">
        <v xml:space="preserve">         Conexión de la acometida del edificio</v>
      </c>
      <c r="D87" s="2">
        <v>1</v>
      </c>
      <c r="E87" s="1">
        <v>69.6758</v>
      </c>
      <c r="F87" s="1">
        <f>D87*E87</f>
      </c>
    </row>
    <row r="88">
      <c r="A88" t="str">
        <v>ASA010b</v>
      </c>
      <c r="B88" t="str">
        <v>Ud</v>
      </c>
      <c r="C88" t="str">
        <v xml:space="preserve">         Arqueta a pie de bajante, de obra de fábrica</v>
      </c>
      <c r="D88" s="2">
        <v>1</v>
      </c>
      <c r="E88" s="1">
        <v>43.6039</v>
      </c>
      <c r="F88" s="1">
        <f>D88*E88</f>
      </c>
    </row>
    <row r="89">
      <c r="A89" t="str">
        <v>ASC010</v>
      </c>
      <c r="B89" t="str">
        <v>m</v>
      </c>
      <c r="C89" t="str">
        <v xml:space="preserve">         Colector enterrado de saneamiento, sin arquetas</v>
      </c>
      <c r="D89" s="2">
        <v>69.54</v>
      </c>
      <c r="E89" s="1">
        <v>8.579300000000002</v>
      </c>
      <c r="F89" s="1">
        <f>D89*E89</f>
      </c>
    </row>
    <row r="90">
      <c r="A90" t="str">
        <v>AN</v>
      </c>
      <c r="B90" t="str">
        <v/>
      </c>
      <c r="C90" t="str">
        <v xml:space="preserve">      Nivelación</v>
      </c>
      <c r="D90" t="str">
        <v/>
      </c>
      <c r="E90" t="str">
        <v/>
      </c>
      <c r="F90" s="1">
        <f>F91+F92+F93+F94</f>
      </c>
    </row>
    <row r="91">
      <c r="A91" t="str">
        <v>ANS020</v>
      </c>
      <c r="B91" t="str">
        <v>m²</v>
      </c>
      <c r="C91" t="str">
        <v xml:space="preserve">         Solera ventilada de hormigón</v>
      </c>
      <c r="D91" s="2">
        <v>207.19</v>
      </c>
      <c r="E91" s="1">
        <v>8.8383</v>
      </c>
      <c r="F91" s="1">
        <f>D91*E91</f>
      </c>
    </row>
    <row r="92">
      <c r="A92" t="str">
        <v>ANE010</v>
      </c>
      <c r="B92" t="str">
        <v>m²</v>
      </c>
      <c r="C92" t="str">
        <v xml:space="preserve">         Encachado de 20 cm en caja para base de solera</v>
      </c>
      <c r="D92" s="2">
        <v>148.03</v>
      </c>
      <c r="E92" s="1">
        <v>3.2144000000000004</v>
      </c>
      <c r="F92" s="1">
        <f>D92*E92</f>
      </c>
    </row>
    <row r="93">
      <c r="A93" t="str">
        <v>ANS010</v>
      </c>
      <c r="B93" t="str">
        <v>m²</v>
      </c>
      <c r="C93" t="str">
        <v xml:space="preserve">         Solera de hormigón armado HA-25/B/20/IIa de 15 cm de espesor</v>
      </c>
      <c r="D93" s="2">
        <v>148.03</v>
      </c>
      <c r="E93" s="1">
        <v>7.630700000000001</v>
      </c>
      <c r="F93" s="1">
        <f>D93*E93</f>
      </c>
    </row>
    <row r="94">
      <c r="A94" t="str">
        <v>CSV010</v>
      </c>
      <c r="B94" t="str">
        <v>m³</v>
      </c>
      <c r="C94" t="str">
        <v xml:space="preserve">         Zapata corrida de cimentación de cierre de parcela</v>
      </c>
      <c r="D94" s="2">
        <v>4.5</v>
      </c>
      <c r="E94" s="1">
        <v>115.64380000000001</v>
      </c>
      <c r="F94" s="1">
        <f>D94*E94</f>
      </c>
    </row>
    <row r="95">
      <c r="A95" t="str">
        <v>E</v>
      </c>
      <c r="B95" t="str">
        <v/>
      </c>
      <c r="C95" t="str">
        <v xml:space="preserve">   Estructuras</v>
      </c>
      <c r="D95" t="str">
        <v/>
      </c>
      <c r="E95" t="str">
        <v/>
      </c>
      <c r="F95" s="1">
        <f>F96+F98+F102</f>
      </c>
    </row>
    <row r="96">
      <c r="A96" t="str">
        <v>EA</v>
      </c>
      <c r="B96" t="str">
        <v/>
      </c>
      <c r="C96" t="str">
        <v xml:space="preserve">      Acero</v>
      </c>
      <c r="D96" t="str">
        <v/>
      </c>
      <c r="E96" t="str">
        <v/>
      </c>
      <c r="F96" s="1">
        <f>F97</f>
      </c>
    </row>
    <row r="97">
      <c r="A97" t="str">
        <v>EAV010</v>
      </c>
      <c r="B97" t="str">
        <v>kg</v>
      </c>
      <c r="C97" t="str">
        <v xml:space="preserve">         Acero S275JR en vigas, con piezas simples de perfiles laminados</v>
      </c>
      <c r="D97" s="2">
        <v>1998.84</v>
      </c>
      <c r="E97" s="1">
        <v>0.7903</v>
      </c>
      <c r="F97" s="1">
        <f>D97*E97</f>
      </c>
    </row>
    <row r="98">
      <c r="A98" t="str">
        <v>EH</v>
      </c>
      <c r="B98" t="str">
        <v/>
      </c>
      <c r="C98" t="str">
        <v xml:space="preserve">      Hormigón armado</v>
      </c>
      <c r="D98" t="str">
        <v/>
      </c>
      <c r="E98" t="str">
        <v/>
      </c>
      <c r="F98" s="1">
        <f>F99+F100+F101</f>
      </c>
    </row>
    <row r="99">
      <c r="A99" t="str">
        <v>EHV010</v>
      </c>
      <c r="B99" t="str">
        <v>m³</v>
      </c>
      <c r="C99" t="str">
        <v xml:space="preserve">         Zuncho perimetral de cubierta</v>
      </c>
      <c r="D99" s="2">
        <v>5.95</v>
      </c>
      <c r="E99" s="1">
        <v>156.4163</v>
      </c>
      <c r="F99" s="1">
        <f>D99*E99</f>
      </c>
    </row>
    <row r="100">
      <c r="A100" t="str">
        <v>CAV010</v>
      </c>
      <c r="B100" t="str">
        <v>m³</v>
      </c>
      <c r="C100" t="str">
        <v xml:space="preserve">         Zuncho de apoyo de cerramiento</v>
      </c>
      <c r="D100" s="2">
        <v>0.94</v>
      </c>
      <c r="E100" s="1">
        <v>77.039</v>
      </c>
      <c r="F100" s="1">
        <f>D100*E100</f>
      </c>
    </row>
    <row r="101">
      <c r="A101" t="str">
        <v>EHX011</v>
      </c>
      <c r="B101" t="str">
        <v>m²</v>
      </c>
      <c r="C101" t="str">
        <v xml:space="preserve">         Forjado de canto 15 cm, con chapa colaborante</v>
      </c>
      <c r="D101" s="2">
        <v>116.57</v>
      </c>
      <c r="E101" s="1">
        <v>68.5423</v>
      </c>
      <c r="F101" s="1">
        <f>D101*E101</f>
      </c>
    </row>
    <row r="102">
      <c r="A102" t="str">
        <v>EM</v>
      </c>
      <c r="B102" t="str">
        <v/>
      </c>
      <c r="C102" t="str">
        <v xml:space="preserve">      Madera</v>
      </c>
      <c r="D102" t="str">
        <v/>
      </c>
      <c r="E102" t="str">
        <v/>
      </c>
      <c r="F102" s="1">
        <f>F103+F104+F105+F106</f>
      </c>
    </row>
    <row r="103">
      <c r="A103" t="str">
        <v>EMV010</v>
      </c>
      <c r="B103" t="str">
        <v>m³</v>
      </c>
      <c r="C103" t="str">
        <v xml:space="preserve">         Viga de madera aserrada de pino silvestre</v>
      </c>
      <c r="D103" s="2">
        <v>4.08</v>
      </c>
      <c r="E103" s="1">
        <v>194.15120000000002</v>
      </c>
      <c r="F103" s="1">
        <f>D103*E103</f>
      </c>
    </row>
    <row r="104">
      <c r="A104" t="str">
        <v>EMW020</v>
      </c>
      <c r="B104" t="str">
        <v>m</v>
      </c>
      <c r="C104" t="str">
        <v xml:space="preserve">         Sustitución de cargadero existente en hueco de muro, de madera</v>
      </c>
      <c r="D104" s="2">
        <v>1</v>
      </c>
      <c r="E104" s="1">
        <v>17.8026</v>
      </c>
      <c r="F104" s="1">
        <f>D104*E104</f>
      </c>
    </row>
    <row r="105">
      <c r="A105" t="str">
        <v>EMV110</v>
      </c>
      <c r="B105" t="str">
        <v>m³</v>
      </c>
      <c r="C105" t="str">
        <v xml:space="preserve">         Viga de madera laminada encolada homogénea</v>
      </c>
      <c r="D105" s="2">
        <v>8.07</v>
      </c>
      <c r="E105" s="1">
        <v>452.43159999999995</v>
      </c>
      <c r="F105" s="1">
        <f>D105*E105</f>
      </c>
    </row>
    <row r="106">
      <c r="A106" t="str">
        <v>Pa11</v>
      </c>
      <c r="B106" t="str">
        <v>ud</v>
      </c>
      <c r="C106" t="str">
        <v xml:space="preserve">         Tirante de acero en cerchas</v>
      </c>
      <c r="D106" s="2">
        <v>1</v>
      </c>
      <c r="E106" s="1">
        <v>0</v>
      </c>
      <c r="F106" s="1">
        <f>D106*E106</f>
      </c>
    </row>
    <row r="107">
      <c r="A107" t="str">
        <v>F</v>
      </c>
      <c r="B107" t="str">
        <v/>
      </c>
      <c r="C107" t="str">
        <v xml:space="preserve">   Fachadas</v>
      </c>
      <c r="D107" t="str">
        <v/>
      </c>
      <c r="E107" t="str">
        <v/>
      </c>
      <c r="F107" s="1">
        <f>F108+F110+F129+F139+F142</f>
      </c>
    </row>
    <row r="108">
      <c r="A108" t="str">
        <v>FF</v>
      </c>
      <c r="B108" t="str">
        <v/>
      </c>
      <c r="C108" t="str">
        <v xml:space="preserve">      Fábricas y trasdosados</v>
      </c>
      <c r="D108" t="str">
        <v/>
      </c>
      <c r="E108" t="str">
        <v/>
      </c>
      <c r="F108" s="1">
        <f>F109</f>
      </c>
    </row>
    <row r="109">
      <c r="A109" t="str">
        <v>FFZ020</v>
      </c>
      <c r="B109" t="str">
        <v>m²</v>
      </c>
      <c r="C109" t="str">
        <v xml:space="preserve">         Hoja exterior de cerramiento de fachada</v>
      </c>
      <c r="D109" s="2">
        <v>50.93</v>
      </c>
      <c r="E109" s="1">
        <v>12.3377</v>
      </c>
      <c r="F109" s="1">
        <f>D109*E109</f>
      </c>
    </row>
    <row r="110">
      <c r="A110" t="str">
        <v>FC</v>
      </c>
      <c r="B110" t="str">
        <v/>
      </c>
      <c r="C110" t="str">
        <v xml:space="preserve">      Carpintería exterior</v>
      </c>
      <c r="D110" t="str">
        <v/>
      </c>
      <c r="E110" t="str">
        <v/>
      </c>
      <c r="F110" s="1">
        <f>F111+F112+F113+F114+F115+F116+F117+F118+F119+F120+F121+F122+F123+F124+F125+F126+F127+F128</f>
      </c>
    </row>
    <row r="111">
      <c r="A111" t="str">
        <v>FCM020</v>
      </c>
      <c r="B111" t="str">
        <v>Ud</v>
      </c>
      <c r="C111" t="str">
        <v xml:space="preserve">         Carpintería exterior en madera de iroko , de 100x155 cm.</v>
      </c>
      <c r="D111" s="2">
        <v>4</v>
      </c>
      <c r="E111" s="1">
        <v>179.1057</v>
      </c>
      <c r="F111" s="1">
        <f>D111*E111</f>
      </c>
    </row>
    <row r="112">
      <c r="A112" t="str">
        <v>FCM020b</v>
      </c>
      <c r="B112" t="str">
        <v>Ud</v>
      </c>
      <c r="C112" t="str">
        <v xml:space="preserve">         Carpintería exterior en madera de iroko , de 50x85 cm.</v>
      </c>
      <c r="D112" s="2">
        <v>1</v>
      </c>
      <c r="E112" s="1">
        <v>56.902</v>
      </c>
      <c r="F112" s="1">
        <f>D112*E112</f>
      </c>
    </row>
    <row r="113">
      <c r="A113" t="str">
        <v>FCM020c</v>
      </c>
      <c r="B113" t="str">
        <v>Ud</v>
      </c>
      <c r="C113" t="str">
        <v xml:space="preserve">         Carpintería exterior corredera en madera de iroko , de 400x81 cm</v>
      </c>
      <c r="D113" s="2">
        <v>1</v>
      </c>
      <c r="E113" s="1">
        <v>296.65290000000005</v>
      </c>
      <c r="F113" s="1">
        <f>D113*E113</f>
      </c>
    </row>
    <row r="114">
      <c r="A114" t="str">
        <v>FCM020d</v>
      </c>
      <c r="B114" t="str">
        <v>Ud</v>
      </c>
      <c r="C114" t="str">
        <v xml:space="preserve">         Carpintería exterior en madera de iroko , de 624x240 cm.</v>
      </c>
      <c r="D114" s="2">
        <v>1</v>
      </c>
      <c r="E114" s="1">
        <v>1260.4715</v>
      </c>
      <c r="F114" s="1">
        <f>D114*E114</f>
      </c>
    </row>
    <row r="115">
      <c r="A115" t="str">
        <v>FCM020e</v>
      </c>
      <c r="B115" t="str">
        <v>Ud</v>
      </c>
      <c r="C115" t="str">
        <v xml:space="preserve">         Carpintería exterior en madera de iroko, de 115x138 cm.</v>
      </c>
      <c r="D115" s="2">
        <v>1</v>
      </c>
      <c r="E115" s="1">
        <v>180.78480000000002</v>
      </c>
      <c r="F115" s="1">
        <f>D115*E115</f>
      </c>
    </row>
    <row r="116">
      <c r="A116" t="str">
        <v>FCM020f</v>
      </c>
      <c r="B116" t="str">
        <v>Ud</v>
      </c>
      <c r="C116" t="str">
        <v xml:space="preserve">         Carpintería exterior en madera de iroko, de 115x145 cm.</v>
      </c>
      <c r="D116" s="2">
        <v>3</v>
      </c>
      <c r="E116" s="1">
        <v>186.887</v>
      </c>
      <c r="F116" s="1">
        <f>D116*E116</f>
      </c>
    </row>
    <row r="117">
      <c r="A117" t="str">
        <v>FCM020g</v>
      </c>
      <c r="B117" t="str">
        <v>Ud</v>
      </c>
      <c r="C117" t="str">
        <v xml:space="preserve">         Carpintería exterior en madera de iroko , de 481x240 cm.</v>
      </c>
      <c r="D117" s="2">
        <v>1</v>
      </c>
      <c r="E117" s="1">
        <v>969.1595000000001</v>
      </c>
      <c r="F117" s="1">
        <f>D117*E117</f>
      </c>
    </row>
    <row r="118">
      <c r="A118" t="str">
        <v>FCM020h</v>
      </c>
      <c r="B118" t="str">
        <v>Ud</v>
      </c>
      <c r="C118" t="str">
        <v xml:space="preserve">         Carpintería exterior en madera de iroko , de 495x240 cm.</v>
      </c>
      <c r="D118" s="2">
        <v>1</v>
      </c>
      <c r="E118" s="1">
        <v>1022.3561000000001</v>
      </c>
      <c r="F118" s="1">
        <f>D118*E118</f>
      </c>
    </row>
    <row r="119">
      <c r="A119" t="str">
        <v>FCM020i</v>
      </c>
      <c r="B119" t="str">
        <v>Ud</v>
      </c>
      <c r="C119" t="str">
        <v xml:space="preserve">         Carpintería exterior en madera de iroko, de 112x211 cm.</v>
      </c>
      <c r="D119" s="2">
        <v>1</v>
      </c>
      <c r="E119" s="1">
        <v>262.85139999999996</v>
      </c>
      <c r="F119" s="1">
        <f>D119*E119</f>
      </c>
    </row>
    <row r="120">
      <c r="A120" t="str">
        <v>FCM020j</v>
      </c>
      <c r="B120" t="str">
        <v>Ud</v>
      </c>
      <c r="C120" t="str">
        <v xml:space="preserve">         Carpintería exterior en madera de iroko , de 115x155 cm.</v>
      </c>
      <c r="D120" s="2">
        <v>6</v>
      </c>
      <c r="E120" s="1">
        <v>199.0885</v>
      </c>
      <c r="F120" s="1">
        <f>D120*E120</f>
      </c>
    </row>
    <row r="121">
      <c r="A121" t="str">
        <v>FCM020k</v>
      </c>
      <c r="B121" t="str">
        <v>Ud</v>
      </c>
      <c r="C121" t="str">
        <v xml:space="preserve">         Carpintería exterior en madera de iroko, de 100x155 cm.</v>
      </c>
      <c r="D121" s="2">
        <v>2</v>
      </c>
      <c r="E121" s="1">
        <v>175.0767</v>
      </c>
      <c r="F121" s="1">
        <f>D121*E121</f>
      </c>
    </row>
    <row r="122">
      <c r="A122" t="str">
        <v>FCM020l</v>
      </c>
      <c r="B122" t="str">
        <v>Ud</v>
      </c>
      <c r="C122" t="str">
        <v xml:space="preserve">         Carpintería exterior en madera de iroko , de 90x210 cm.</v>
      </c>
      <c r="D122" s="2">
        <v>1</v>
      </c>
      <c r="E122" s="1">
        <v>216.5332</v>
      </c>
      <c r="F122" s="1">
        <f>D122*E122</f>
      </c>
    </row>
    <row r="123">
      <c r="A123" t="str">
        <v>FCM020q</v>
      </c>
      <c r="B123" t="str">
        <v>Ud</v>
      </c>
      <c r="C123" t="str">
        <v xml:space="preserve">         Carpintería exterior en madera de iroko barnizada, para puerta a</v>
      </c>
      <c r="D123" s="2">
        <v>1</v>
      </c>
      <c r="E123" s="1">
        <v>489.23780000000005</v>
      </c>
      <c r="F123" s="1">
        <f>D123*E123</f>
      </c>
    </row>
    <row r="124">
      <c r="A124" t="str">
        <v>FCM020m</v>
      </c>
      <c r="B124" t="str">
        <v>Ud</v>
      </c>
      <c r="C124" t="str">
        <v xml:space="preserve">         Carpintería exterior en madera de irok, de 130x210 cm.</v>
      </c>
      <c r="D124" s="2">
        <v>1</v>
      </c>
      <c r="E124" s="1">
        <v>295.37429999999995</v>
      </c>
      <c r="F124" s="1">
        <f>D124*E124</f>
      </c>
    </row>
    <row r="125">
      <c r="A125" t="str">
        <v>FCM020n</v>
      </c>
      <c r="B125" t="str">
        <v>Ud</v>
      </c>
      <c r="C125" t="str">
        <v xml:space="preserve">         Carpintería exterior en madera de iroko, de 130x210 cm. con fijo</v>
      </c>
      <c r="D125" s="2">
        <v>2</v>
      </c>
      <c r="E125" s="1">
        <v>295.37429999999995</v>
      </c>
      <c r="F125" s="1">
        <f>D125*E125</f>
      </c>
    </row>
    <row r="126">
      <c r="A126" t="str">
        <v>FCM020o</v>
      </c>
      <c r="B126" t="str">
        <v>Ud</v>
      </c>
      <c r="C126" t="str">
        <v xml:space="preserve">         Carpintería exterior en madera de irok, de 85x210 cm.</v>
      </c>
      <c r="D126" s="2">
        <v>3</v>
      </c>
      <c r="E126" s="1">
        <v>201.0945</v>
      </c>
      <c r="F126" s="1">
        <f>D126*E126</f>
      </c>
    </row>
    <row r="127">
      <c r="A127" t="str">
        <v>FCM020p</v>
      </c>
      <c r="B127" t="str">
        <v>Ud</v>
      </c>
      <c r="C127" t="str">
        <v xml:space="preserve">         Carpintería exterior en madera de iroko, de 110x210 cm.</v>
      </c>
      <c r="D127" s="2">
        <v>1</v>
      </c>
      <c r="E127" s="1">
        <v>274.74739999999997</v>
      </c>
      <c r="F127" s="1">
        <f>D127*E127</f>
      </c>
    </row>
    <row r="128">
      <c r="A128" t="str">
        <v>FDG010</v>
      </c>
      <c r="B128" t="str">
        <v>Ud</v>
      </c>
      <c r="C128" t="str">
        <v xml:space="preserve">         Puerta abatible/pivotante de una hoja para almacen local, 240x23</v>
      </c>
      <c r="D128" s="2">
        <v>1</v>
      </c>
      <c r="E128" s="1">
        <v>512.6344</v>
      </c>
      <c r="F128" s="1">
        <f>D128*E128</f>
      </c>
    </row>
    <row r="129">
      <c r="A129" t="str">
        <v>FD</v>
      </c>
      <c r="B129" t="str">
        <v/>
      </c>
      <c r="C129" t="str">
        <v xml:space="preserve">      Defensas de exteriores</v>
      </c>
      <c r="D129" t="str">
        <v/>
      </c>
      <c r="E129" t="str">
        <v/>
      </c>
      <c r="F129" s="1">
        <f>F130+F131+F132+F133+F134+F135+F136+F137+F138</f>
      </c>
    </row>
    <row r="130">
      <c r="A130" t="str">
        <v>FDV030</v>
      </c>
      <c r="B130" t="str">
        <v>Ud</v>
      </c>
      <c r="C130" t="str">
        <v xml:space="preserve">         Contraventana mallorquina,de 90x135 cm, colocada en ventana.</v>
      </c>
      <c r="D130" s="2">
        <v>4</v>
      </c>
      <c r="E130" s="1">
        <v>127.24529999999999</v>
      </c>
      <c r="F130" s="1">
        <f>D130*E130</f>
      </c>
    </row>
    <row r="131">
      <c r="A131" t="str">
        <v>FDV030b</v>
      </c>
      <c r="B131" t="str">
        <v>Ud</v>
      </c>
      <c r="C131" t="str">
        <v xml:space="preserve">         Contraventana mallorquina,de 115x140 cm, colocada en ventana.</v>
      </c>
      <c r="D131" s="2">
        <v>1</v>
      </c>
      <c r="E131" s="1">
        <v>145.279</v>
      </c>
      <c r="F131" s="1">
        <f>D131*E131</f>
      </c>
    </row>
    <row r="132">
      <c r="A132" t="str">
        <v>FDV030c</v>
      </c>
      <c r="B132" t="str">
        <v>Ud</v>
      </c>
      <c r="C132" t="str">
        <v xml:space="preserve">         Contraventana mallorquina,de 95x125 cm, colocada en ventana.</v>
      </c>
      <c r="D132" s="2">
        <v>3</v>
      </c>
      <c r="E132" s="1">
        <v>150.5613</v>
      </c>
      <c r="F132" s="1">
        <f>D132*E132</f>
      </c>
    </row>
    <row r="133">
      <c r="A133" t="str">
        <v>FDV030d</v>
      </c>
      <c r="B133" t="str">
        <v>Ud</v>
      </c>
      <c r="C133" t="str">
        <v xml:space="preserve">         Contraventana mallorquina, de 95x135 cm, colocada en ventana.</v>
      </c>
      <c r="D133" s="2">
        <v>6</v>
      </c>
      <c r="E133" s="1">
        <v>159.9931</v>
      </c>
      <c r="F133" s="1">
        <f>D133*E133</f>
      </c>
    </row>
    <row r="134">
      <c r="A134" t="str">
        <v>FDV030e</v>
      </c>
      <c r="B134" t="str">
        <v>Ud</v>
      </c>
      <c r="C134" t="str">
        <v xml:space="preserve">         Contraventana mallorquina,de 80x135 cm, colocada en ventana.</v>
      </c>
      <c r="D134" s="2">
        <v>2</v>
      </c>
      <c r="E134" s="1">
        <v>140.2996</v>
      </c>
      <c r="F134" s="1">
        <f>D134*E134</f>
      </c>
    </row>
    <row r="135">
      <c r="A135" t="str">
        <v>FDV030f</v>
      </c>
      <c r="B135" t="str">
        <v>Ud</v>
      </c>
      <c r="C135" t="str">
        <v xml:space="preserve">         Contraventana mallorquina, exterior de 40x75 cm, colocada en ven</v>
      </c>
      <c r="D135" s="2">
        <v>1</v>
      </c>
      <c r="E135" s="1">
        <v>104.404</v>
      </c>
      <c r="F135" s="1">
        <f>D135*E135</f>
      </c>
    </row>
    <row r="136">
      <c r="A136" t="str">
        <v>Pa3</v>
      </c>
      <c r="B136" t="str">
        <v>m2</v>
      </c>
      <c r="C136" t="str">
        <v xml:space="preserve">         Cierre fijo de lamas de Iroko</v>
      </c>
      <c r="D136" s="2">
        <v>14.46</v>
      </c>
      <c r="E136" s="1">
        <v>0</v>
      </c>
      <c r="F136" s="1">
        <f>D136*E136</f>
      </c>
    </row>
    <row r="137">
      <c r="A137" t="str">
        <v>PDB010</v>
      </c>
      <c r="B137" t="str">
        <v>m</v>
      </c>
      <c r="C137" t="str">
        <v xml:space="preserve">         Barandilla de fabrica de ladrillo para reparacion de escalera ex</v>
      </c>
      <c r="D137" s="2">
        <v>1</v>
      </c>
      <c r="E137" s="1">
        <v>42.7217</v>
      </c>
      <c r="F137" s="1">
        <f>D137*E137</f>
      </c>
    </row>
    <row r="138">
      <c r="A138" t="str">
        <v>Pa9</v>
      </c>
      <c r="B138" t="str">
        <v>ud</v>
      </c>
      <c r="C138" t="str">
        <v xml:space="preserve">         Reparación de escalera Edificio A</v>
      </c>
      <c r="D138" s="2">
        <v>1</v>
      </c>
      <c r="E138" s="1">
        <v>0</v>
      </c>
      <c r="F138" s="1">
        <f>D138*E138</f>
      </c>
    </row>
    <row r="139">
      <c r="A139" t="str">
        <v>FV</v>
      </c>
      <c r="B139" t="str">
        <v/>
      </c>
      <c r="C139" t="str">
        <v xml:space="preserve">      Vidrios</v>
      </c>
      <c r="D139" t="str">
        <v/>
      </c>
      <c r="E139" t="str">
        <v/>
      </c>
      <c r="F139" s="1">
        <f>F140+F141</f>
      </c>
    </row>
    <row r="140">
      <c r="A140" t="str">
        <v>FVC010b</v>
      </c>
      <c r="B140" t="str">
        <v>m²</v>
      </c>
      <c r="C140" t="str">
        <v xml:space="preserve">         Doble acristalamiento estándar, 4/12/4, con calzos y sellado con</v>
      </c>
      <c r="D140" s="2">
        <v>58.14</v>
      </c>
      <c r="E140" s="1">
        <v>12.5808</v>
      </c>
      <c r="F140" s="1">
        <f>D140*E140</f>
      </c>
    </row>
    <row r="141">
      <c r="A141" t="str">
        <v>FVS010</v>
      </c>
      <c r="B141" t="str">
        <v>m²</v>
      </c>
      <c r="C141" t="str">
        <v xml:space="preserve">         Vidrio laminar de seguridad 4+4 mm, butiral de polivinilo incolo</v>
      </c>
      <c r="D141" s="2">
        <v>7.24</v>
      </c>
      <c r="E141" s="1">
        <v>16.6137</v>
      </c>
      <c r="F141" s="1">
        <f>D141*E141</f>
      </c>
    </row>
    <row r="142">
      <c r="A142" t="str">
        <v>FZ</v>
      </c>
      <c r="B142" t="str">
        <v/>
      </c>
      <c r="C142" t="str">
        <v xml:space="preserve">      Limpieza y tratamientos superficiales</v>
      </c>
      <c r="D142" t="str">
        <v/>
      </c>
      <c r="E142" t="str">
        <v/>
      </c>
      <c r="F142" s="1">
        <f>F143</f>
      </c>
    </row>
    <row r="143">
      <c r="A143" t="str">
        <v>FZB040</v>
      </c>
      <c r="B143" t="str">
        <v>m²</v>
      </c>
      <c r="C143" t="str">
        <v xml:space="preserve">         Limpieza mecánica de fachada con lanza de agua a presión</v>
      </c>
      <c r="D143" s="2">
        <v>306.59</v>
      </c>
      <c r="E143" s="1">
        <v>1.988</v>
      </c>
      <c r="F143" s="1">
        <f>D143*E143</f>
      </c>
    </row>
    <row r="144">
      <c r="A144" t="str">
        <v>P</v>
      </c>
      <c r="B144" t="str">
        <v/>
      </c>
      <c r="C144" t="str">
        <v xml:space="preserve">   Particiones</v>
      </c>
      <c r="D144" t="str">
        <v/>
      </c>
      <c r="E144" t="str">
        <v/>
      </c>
      <c r="F144" s="1">
        <f>F145+F150+F153+F156+F162</f>
      </c>
    </row>
    <row r="145">
      <c r="A145" t="str">
        <v>PA</v>
      </c>
      <c r="B145" t="str">
        <v/>
      </c>
      <c r="C145" t="str">
        <v xml:space="preserve">      Armarios</v>
      </c>
      <c r="D145" t="str">
        <v/>
      </c>
      <c r="E145" t="str">
        <v/>
      </c>
      <c r="F145" s="1">
        <f>F146+F147+F148+F149</f>
      </c>
    </row>
    <row r="146">
      <c r="A146" t="str">
        <v>PAF010</v>
      </c>
      <c r="B146" t="str">
        <v>Ud</v>
      </c>
      <c r="C146" t="str">
        <v xml:space="preserve">         Armario prefabricado para empotrar de siete hojas abatibles</v>
      </c>
      <c r="D146" s="2">
        <v>1</v>
      </c>
      <c r="E146" s="1">
        <v>392.7693</v>
      </c>
      <c r="F146" s="1">
        <f>D146*E146</f>
      </c>
    </row>
    <row r="147">
      <c r="A147" t="str">
        <v>PAF010b</v>
      </c>
      <c r="B147" t="str">
        <v>Ud</v>
      </c>
      <c r="C147" t="str">
        <v xml:space="preserve">         Armario prefabricado para empotrar de cuatro hojas abatibles</v>
      </c>
      <c r="D147" s="2">
        <v>1</v>
      </c>
      <c r="E147" s="1">
        <v>175.11550000000003</v>
      </c>
      <c r="F147" s="1">
        <f>D147*E147</f>
      </c>
    </row>
    <row r="148">
      <c r="A148" t="str">
        <v>PAF010c</v>
      </c>
      <c r="B148" t="str">
        <v>Ud</v>
      </c>
      <c r="C148" t="str">
        <v xml:space="preserve">         Armario prefabricado para empotrar de seis hojas abatibles</v>
      </c>
      <c r="D148" s="2">
        <v>1</v>
      </c>
      <c r="E148" s="1">
        <v>330.2255</v>
      </c>
      <c r="F148" s="1">
        <f>D148*E148</f>
      </c>
    </row>
    <row r="149">
      <c r="A149" t="str">
        <v>PAF010d</v>
      </c>
      <c r="B149" t="str">
        <v>Ud</v>
      </c>
      <c r="C149" t="str">
        <v xml:space="preserve">         Mueble estantería de tablero melamínico.</v>
      </c>
      <c r="D149" s="2">
        <v>1</v>
      </c>
      <c r="E149" s="1">
        <v>441.4093</v>
      </c>
      <c r="F149" s="1">
        <f>D149*E149</f>
      </c>
    </row>
    <row r="150">
      <c r="A150" t="str">
        <v>PD</v>
      </c>
      <c r="B150" t="str">
        <v/>
      </c>
      <c r="C150" t="str">
        <v xml:space="preserve">      Defensas interiores</v>
      </c>
      <c r="D150" t="str">
        <v/>
      </c>
      <c r="E150" t="str">
        <v/>
      </c>
      <c r="F150" s="1">
        <f>F151+F152</f>
      </c>
    </row>
    <row r="151">
      <c r="A151" t="str">
        <v>PDB010b</v>
      </c>
      <c r="B151" t="str">
        <v>m</v>
      </c>
      <c r="C151" t="str">
        <v xml:space="preserve">         Barandilla metálica de tubo hueco de acero laminado en frío de 9</v>
      </c>
      <c r="D151" s="2">
        <v>7.24</v>
      </c>
      <c r="E151" s="1">
        <v>47.4242</v>
      </c>
      <c r="F151" s="1">
        <f>D151*E151</f>
      </c>
    </row>
    <row r="152">
      <c r="A152" t="str">
        <v>Pa13</v>
      </c>
      <c r="B152" t="str">
        <v>m</v>
      </c>
      <c r="C152" t="str">
        <v xml:space="preserve">         Barras de proteccion de huecos</v>
      </c>
      <c r="D152" s="2">
        <v>14.16</v>
      </c>
      <c r="E152" s="1">
        <v>0</v>
      </c>
      <c r="F152" s="1">
        <f>D152*E152</f>
      </c>
    </row>
    <row r="153">
      <c r="A153" t="str">
        <v>PP</v>
      </c>
      <c r="B153" t="str">
        <v/>
      </c>
      <c r="C153" t="str">
        <v xml:space="preserve">      Puertas de paso interiores</v>
      </c>
      <c r="D153" t="str">
        <v/>
      </c>
      <c r="E153" t="str">
        <v/>
      </c>
      <c r="F153" s="1">
        <f>F154+F155</f>
      </c>
    </row>
    <row r="154">
      <c r="A154" t="str">
        <v>PPM010</v>
      </c>
      <c r="B154" t="str">
        <v>Ud</v>
      </c>
      <c r="C154" t="str">
        <v xml:space="preserve">         Puerta de paso ciega</v>
      </c>
      <c r="D154" s="2">
        <v>5</v>
      </c>
      <c r="E154" s="1">
        <v>76.6787</v>
      </c>
      <c r="F154" s="1">
        <f>D154*E154</f>
      </c>
    </row>
    <row r="155">
      <c r="A155" t="str">
        <v>PEH010b</v>
      </c>
      <c r="B155" t="str">
        <v>Ud</v>
      </c>
      <c r="C155" t="str">
        <v xml:space="preserve">         Puerta blindada de entrada</v>
      </c>
      <c r="D155" s="2">
        <v>1</v>
      </c>
      <c r="E155" s="1">
        <v>471.22499999999997</v>
      </c>
      <c r="F155" s="1">
        <f>D155*E155</f>
      </c>
    </row>
    <row r="156">
      <c r="A156" t="str">
        <v>PT</v>
      </c>
      <c r="B156" t="str">
        <v/>
      </c>
      <c r="C156" t="str">
        <v xml:space="preserve">      Tabiques</v>
      </c>
      <c r="D156" t="str">
        <v/>
      </c>
      <c r="E156" t="str">
        <v/>
      </c>
      <c r="F156" s="1">
        <f>F157+F158+F159+F160+F161</f>
      </c>
    </row>
    <row r="157">
      <c r="A157" t="str">
        <v>PTW015</v>
      </c>
      <c r="B157" t="str">
        <v>m²</v>
      </c>
      <c r="C157" t="str">
        <v xml:space="preserve">         Trasdosado autoportante interior</v>
      </c>
      <c r="D157" s="2">
        <v>319.49</v>
      </c>
      <c r="E157" s="1">
        <v>11.2099</v>
      </c>
      <c r="F157" s="1">
        <f>D157*E157</f>
      </c>
    </row>
    <row r="158">
      <c r="A158" t="str">
        <v>PSY010d</v>
      </c>
      <c r="B158" t="str">
        <v>m²</v>
      </c>
      <c r="C158" t="str">
        <v xml:space="preserve">         Tabique múltiple (12,5+12,5+70+12,5+12,5)/600 (70) hidrofugado/h</v>
      </c>
      <c r="D158" s="2">
        <v>9.24</v>
      </c>
      <c r="E158" s="1">
        <v>18.090200000000003</v>
      </c>
      <c r="F158" s="1">
        <f>D158*E158</f>
      </c>
    </row>
    <row r="159">
      <c r="A159" t="str">
        <v>PSY010e</v>
      </c>
      <c r="B159" t="str">
        <v>m²</v>
      </c>
      <c r="C159" t="str">
        <v xml:space="preserve">         Tabique múltiple (12,5+12,5+70+12,5+12,5)/600 (70) ( normal/hidr</v>
      </c>
      <c r="D159" s="2">
        <v>32.2</v>
      </c>
      <c r="E159" s="1">
        <v>16.956200000000003</v>
      </c>
      <c r="F159" s="1">
        <f>D159*E159</f>
      </c>
    </row>
    <row r="160">
      <c r="A160" t="str">
        <v>PSY010f</v>
      </c>
      <c r="B160" t="str">
        <v>m²</v>
      </c>
      <c r="C160" t="str">
        <v xml:space="preserve">         Tabique múltiple (12,5+12,5+70+12,5+12,5)/600 (70) (normal/norma</v>
      </c>
      <c r="D160" s="2">
        <v>82.07</v>
      </c>
      <c r="E160" s="1">
        <v>15.8222</v>
      </c>
      <c r="F160" s="1">
        <f>D160*E160</f>
      </c>
    </row>
    <row r="161">
      <c r="A161" t="str">
        <v>FDA005</v>
      </c>
      <c r="B161" t="str">
        <v>m</v>
      </c>
      <c r="C161" t="str">
        <v xml:space="preserve">         Antepecho de pasarela</v>
      </c>
      <c r="D161" s="2">
        <v>10.38</v>
      </c>
      <c r="E161" s="1">
        <v>114.3978</v>
      </c>
      <c r="F161" s="1">
        <f>D161*E161</f>
      </c>
    </row>
    <row r="162">
      <c r="A162" t="str">
        <v>PR</v>
      </c>
      <c r="B162" t="str">
        <v/>
      </c>
      <c r="C162" t="str">
        <v xml:space="preserve">      Remates</v>
      </c>
      <c r="D162" t="str">
        <v/>
      </c>
      <c r="E162" t="str">
        <v/>
      </c>
      <c r="F162" s="1">
        <f>F163</f>
      </c>
    </row>
    <row r="163">
      <c r="A163" t="str">
        <v>PRF010</v>
      </c>
      <c r="B163" t="str">
        <v>m</v>
      </c>
      <c r="C163" t="str">
        <v xml:space="preserve">         Forrado de chimeneas</v>
      </c>
      <c r="D163" s="2">
        <v>2</v>
      </c>
      <c r="E163" s="1">
        <v>12.3085</v>
      </c>
      <c r="F163" s="1">
        <f>D163*E163</f>
      </c>
    </row>
    <row r="164">
      <c r="A164" t="str">
        <v>I</v>
      </c>
      <c r="B164" t="str">
        <v/>
      </c>
      <c r="C164" t="str">
        <v xml:space="preserve">   Instalaciones</v>
      </c>
      <c r="D164" t="str">
        <v/>
      </c>
      <c r="E164" t="str">
        <v/>
      </c>
      <c r="F164" s="1">
        <f>F165+F170+F182+F189+F195+F203+F205</f>
      </c>
    </row>
    <row r="165">
      <c r="A165" t="str">
        <v>IL</v>
      </c>
      <c r="B165" t="str">
        <v/>
      </c>
      <c r="C165" t="str">
        <v xml:space="preserve">      Infraestructura de telecomunicaciones</v>
      </c>
      <c r="D165" t="str">
        <v/>
      </c>
      <c r="E165" t="str">
        <v/>
      </c>
      <c r="F165" s="1">
        <f>F166+F167+F168+F169</f>
      </c>
    </row>
    <row r="166">
      <c r="A166" t="str">
        <v>ILA020</v>
      </c>
      <c r="B166" t="str">
        <v>m</v>
      </c>
      <c r="C166" t="str">
        <v xml:space="preserve">         Canalización externa</v>
      </c>
      <c r="D166" s="2">
        <v>5</v>
      </c>
      <c r="E166" s="1">
        <v>6.478900000000001</v>
      </c>
      <c r="F166" s="1">
        <f>D166*E166</f>
      </c>
    </row>
    <row r="167">
      <c r="A167" t="str">
        <v>ILE030</v>
      </c>
      <c r="B167" t="str">
        <v>m</v>
      </c>
      <c r="C167" t="str">
        <v xml:space="preserve">         Canalización de enlace</v>
      </c>
      <c r="D167" s="2">
        <v>3</v>
      </c>
      <c r="E167" s="1">
        <v>2.5262000000000002</v>
      </c>
      <c r="F167" s="1">
        <f>D167*E167</f>
      </c>
    </row>
    <row r="168">
      <c r="A168" t="str">
        <v>ILS010</v>
      </c>
      <c r="B168" t="str">
        <v>m</v>
      </c>
      <c r="C168" t="str">
        <v xml:space="preserve">         Canalización secundaria</v>
      </c>
      <c r="D168" s="2">
        <v>10</v>
      </c>
      <c r="E168" s="1">
        <v>2.624</v>
      </c>
      <c r="F168" s="1">
        <f>D168*E168</f>
      </c>
    </row>
    <row r="169">
      <c r="A169" t="str">
        <v>ILI001</v>
      </c>
      <c r="B169" t="str">
        <v>Ud</v>
      </c>
      <c r="C169" t="str">
        <v xml:space="preserve">         Registro de terminación de red</v>
      </c>
      <c r="D169" s="2">
        <v>1</v>
      </c>
      <c r="E169" s="1">
        <v>20.139999999999997</v>
      </c>
      <c r="F169" s="1">
        <f>D169*E169</f>
      </c>
    </row>
    <row r="170">
      <c r="A170" t="str">
        <v>IA</v>
      </c>
      <c r="B170" t="str">
        <v/>
      </c>
      <c r="C170" t="str">
        <v xml:space="preserve">      Audiovisuales</v>
      </c>
      <c r="D170" t="str">
        <v/>
      </c>
      <c r="E170" t="str">
        <v/>
      </c>
      <c r="F170" s="1">
        <f>F171+F172+F173+F174+F175+F176+F177+F178+F179+F180+F181</f>
      </c>
    </row>
    <row r="171">
      <c r="A171" t="str">
        <v>IAA031</v>
      </c>
      <c r="B171" t="str">
        <v>Ud</v>
      </c>
      <c r="C171" t="str">
        <v xml:space="preserve">         Mástil para fijación</v>
      </c>
      <c r="D171" s="2">
        <v>1</v>
      </c>
      <c r="E171" s="1">
        <v>29.14</v>
      </c>
      <c r="F171" s="1">
        <f>D171*E171</f>
      </c>
    </row>
    <row r="172">
      <c r="A172" t="str">
        <v>IAA034b</v>
      </c>
      <c r="B172" t="str">
        <v>Ud</v>
      </c>
      <c r="C172" t="str">
        <v xml:space="preserve">         Antena exterior DAB</v>
      </c>
      <c r="D172" s="2">
        <v>1</v>
      </c>
      <c r="E172" s="1">
        <v>12.74</v>
      </c>
      <c r="F172" s="1">
        <f>D172*E172</f>
      </c>
    </row>
    <row r="173">
      <c r="A173" t="str">
        <v>IAA034c</v>
      </c>
      <c r="B173" t="str">
        <v>Ud</v>
      </c>
      <c r="C173" t="str">
        <v xml:space="preserve">         Antena exterior UHF</v>
      </c>
      <c r="D173" s="2">
        <v>1</v>
      </c>
      <c r="E173" s="1">
        <v>24.709999999999997</v>
      </c>
      <c r="F173" s="1">
        <f>D173*E173</f>
      </c>
    </row>
    <row r="174">
      <c r="A174" t="str">
        <v>IAA039</v>
      </c>
      <c r="B174" t="str">
        <v>Ud</v>
      </c>
      <c r="C174" t="str">
        <v xml:space="preserve">         Amplificador de mástil, de 3 entradas, BI/FM/BIII-UHF-FI.</v>
      </c>
      <c r="D174" s="2">
        <v>1</v>
      </c>
      <c r="E174" s="1">
        <v>28.45</v>
      </c>
      <c r="F174" s="1">
        <f>D174*E174</f>
      </c>
    </row>
    <row r="175">
      <c r="A175" t="str">
        <v>IAA100</v>
      </c>
      <c r="B175" t="str">
        <v>m</v>
      </c>
      <c r="C175" t="str">
        <v xml:space="preserve">         Cable coaxial RG-6, de 75 Ohm</v>
      </c>
      <c r="D175" s="2">
        <v>21.46</v>
      </c>
      <c r="E175" s="1">
        <v>0.634</v>
      </c>
      <c r="F175" s="1">
        <f>D175*E175</f>
      </c>
    </row>
    <row r="176">
      <c r="A176" t="str">
        <v>IAA100b</v>
      </c>
      <c r="B176" t="str">
        <v>m</v>
      </c>
      <c r="C176" t="str">
        <v xml:space="preserve">         Cable coaxial RG-6, de 75 Ohm</v>
      </c>
      <c r="D176" s="2">
        <v>15</v>
      </c>
      <c r="E176" s="1">
        <v>0.634</v>
      </c>
      <c r="F176" s="1">
        <f>D176*E176</f>
      </c>
    </row>
    <row r="177">
      <c r="A177" t="str">
        <v>IAA115</v>
      </c>
      <c r="B177" t="str">
        <v>Ud</v>
      </c>
      <c r="C177" t="str">
        <v xml:space="preserve">         Distribuidor de 5-2400 MHz de 4 salidas con punto de acceso a us</v>
      </c>
      <c r="D177" s="2">
        <v>1</v>
      </c>
      <c r="E177" s="1">
        <v>4.416</v>
      </c>
      <c r="F177" s="1">
        <f>D177*E177</f>
      </c>
    </row>
    <row r="178">
      <c r="A178" t="str">
        <v>IAA120</v>
      </c>
      <c r="B178" t="str">
        <v>Ud</v>
      </c>
      <c r="C178" t="str">
        <v xml:space="preserve">         Toma separadora doble, TV/R-SAT, de 5-2400 MHz.</v>
      </c>
      <c r="D178" s="2">
        <v>2</v>
      </c>
      <c r="E178" s="1">
        <v>3.768</v>
      </c>
      <c r="F178" s="1">
        <f>D178*E178</f>
      </c>
    </row>
    <row r="179">
      <c r="A179" t="str">
        <v>IAF070</v>
      </c>
      <c r="B179" t="str">
        <v>m</v>
      </c>
      <c r="C179" t="str">
        <v xml:space="preserve">         Cable rígido U/UTP de 4 pares de cobre,</v>
      </c>
      <c r="D179" s="2">
        <v>42.92</v>
      </c>
      <c r="E179" s="1">
        <v>0.44799999999999995</v>
      </c>
      <c r="F179" s="1">
        <f>D179*E179</f>
      </c>
    </row>
    <row r="180">
      <c r="A180" t="str">
        <v>IAF090</v>
      </c>
      <c r="B180" t="str">
        <v>Ud</v>
      </c>
      <c r="C180" t="str">
        <v xml:space="preserve">         Toma simple con conector tipo RJ45 de 8 contactos, categoría 6.</v>
      </c>
      <c r="D180" s="2">
        <v>2</v>
      </c>
      <c r="E180" s="1">
        <v>6.7446</v>
      </c>
      <c r="F180" s="1">
        <f>D180*E180</f>
      </c>
    </row>
    <row r="181">
      <c r="A181" t="str">
        <v>IAV020</v>
      </c>
      <c r="B181" t="str">
        <v>Ud</v>
      </c>
      <c r="C181" t="str">
        <v xml:space="preserve">         Portero electrónico para vivienda unifamiliar.</v>
      </c>
      <c r="D181" s="2">
        <v>1</v>
      </c>
      <c r="E181" s="1">
        <v>108.91</v>
      </c>
      <c r="F181" s="1">
        <f>D181*E181</f>
      </c>
    </row>
    <row r="182">
      <c r="A182" t="str">
        <v>IC</v>
      </c>
      <c r="B182" t="str">
        <v/>
      </c>
      <c r="C182" t="str">
        <v xml:space="preserve">      Calefacción, climatización y A.C.S.</v>
      </c>
      <c r="D182" t="str">
        <v/>
      </c>
      <c r="E182" t="str">
        <v/>
      </c>
      <c r="F182" s="1">
        <f>F183+F184+F185+F186+F187+F188</f>
      </c>
    </row>
    <row r="183">
      <c r="A183" t="str">
        <v>ICQ015</v>
      </c>
      <c r="B183" t="str">
        <v>Ud</v>
      </c>
      <c r="C183" t="str">
        <v xml:space="preserve">         Caldera para la combustión de pellets, potencia nominal de 16 kW</v>
      </c>
      <c r="D183" s="2">
        <v>1</v>
      </c>
      <c r="E183" s="1">
        <v>4406.314</v>
      </c>
      <c r="F183" s="1">
        <f>D183*E183</f>
      </c>
    </row>
    <row r="184">
      <c r="A184" t="str">
        <v>ICO001</v>
      </c>
      <c r="B184" t="str">
        <v>m</v>
      </c>
      <c r="C184" t="str">
        <v xml:space="preserve">         Conducto de evacuación de los productos de la combustión</v>
      </c>
      <c r="D184" s="2">
        <v>7</v>
      </c>
      <c r="E184" s="1">
        <v>10.324</v>
      </c>
      <c r="F184" s="1">
        <f>D184*E184</f>
      </c>
    </row>
    <row r="185">
      <c r="A185" t="str">
        <v>ICS010</v>
      </c>
      <c r="B185" t="str">
        <v>m</v>
      </c>
      <c r="C185" t="str">
        <v xml:space="preserve">         Tubería de distribución de agua caliente de calefacción</v>
      </c>
      <c r="D185" s="2">
        <v>116.38</v>
      </c>
      <c r="E185" s="1">
        <v>6.9693</v>
      </c>
      <c r="F185" s="1">
        <f>D185*E185</f>
      </c>
    </row>
    <row r="186">
      <c r="A186" t="str">
        <v>ICE040</v>
      </c>
      <c r="B186" t="str">
        <v>Ud</v>
      </c>
      <c r="C186" t="str">
        <v xml:space="preserve">         Radiador de aluminio inyectado, de 4 elementos</v>
      </c>
      <c r="D186" s="2">
        <v>4</v>
      </c>
      <c r="E186" s="1">
        <v>39.746</v>
      </c>
      <c r="F186" s="1">
        <f>D186*E186</f>
      </c>
    </row>
    <row r="187">
      <c r="A187" t="str">
        <v>ICE040b</v>
      </c>
      <c r="B187" t="str">
        <v>Ud</v>
      </c>
      <c r="C187" t="str">
        <v xml:space="preserve">         Radiador de aluminio inyectado,de 6 elementos</v>
      </c>
      <c r="D187" s="2">
        <v>6</v>
      </c>
      <c r="E187" s="1">
        <v>50.582</v>
      </c>
      <c r="F187" s="1">
        <f>D187*E187</f>
      </c>
    </row>
    <row r="188">
      <c r="A188" t="str">
        <v>ICE040c</v>
      </c>
      <c r="B188" t="str">
        <v>Ud</v>
      </c>
      <c r="C188" t="str">
        <v xml:space="preserve">         Radiador de aluminio inyectado,de 10 elementos</v>
      </c>
      <c r="D188" s="2">
        <v>3</v>
      </c>
      <c r="E188" s="1">
        <v>72.25399999999999</v>
      </c>
      <c r="F188" s="1">
        <f>D188*E188</f>
      </c>
    </row>
    <row r="189">
      <c r="A189" t="str">
        <v>IE</v>
      </c>
      <c r="B189" t="str">
        <v/>
      </c>
      <c r="C189" t="str">
        <v xml:space="preserve">      Eléctricas</v>
      </c>
      <c r="D189" t="str">
        <v/>
      </c>
      <c r="E189" t="str">
        <v/>
      </c>
      <c r="F189" s="1">
        <f>F190+F191+F192+F193+F194</f>
      </c>
    </row>
    <row r="190">
      <c r="A190" t="str">
        <v>IEP010</v>
      </c>
      <c r="B190" t="str">
        <v>Ud</v>
      </c>
      <c r="C190" t="str">
        <v xml:space="preserve">         Red de toma de tierra para estructura de hormigón del edificio c</v>
      </c>
      <c r="D190" s="2">
        <v>1</v>
      </c>
      <c r="E190" s="1">
        <v>131.498</v>
      </c>
      <c r="F190" s="1">
        <f>D190*E190</f>
      </c>
    </row>
    <row r="191">
      <c r="A191" t="str">
        <v>IEP030</v>
      </c>
      <c r="B191" t="str">
        <v>Ud</v>
      </c>
      <c r="C191" t="str">
        <v xml:space="preserve">         Red de equipotencialidad en cuarto húmedo.</v>
      </c>
      <c r="D191" s="2">
        <v>1</v>
      </c>
      <c r="E191" s="1">
        <v>14.023</v>
      </c>
      <c r="F191" s="1">
        <f>D191*E191</f>
      </c>
    </row>
    <row r="192">
      <c r="A192" t="str">
        <v>IEC010</v>
      </c>
      <c r="B192" t="str">
        <v>Ud</v>
      </c>
      <c r="C192" t="str">
        <v xml:space="preserve">         Caja de protección y medida CPM1-S2, de hasta 63 A de intensidad</v>
      </c>
      <c r="D192" s="2">
        <v>1</v>
      </c>
      <c r="E192" s="1">
        <v>58.64</v>
      </c>
      <c r="F192" s="1">
        <f>D192*E192</f>
      </c>
    </row>
    <row r="193">
      <c r="A193" t="str">
        <v>IED010</v>
      </c>
      <c r="B193" t="str">
        <v>m</v>
      </c>
      <c r="C193" t="str">
        <v xml:space="preserve">         Derivación individual monofásica fija en superficie para viviend</v>
      </c>
      <c r="D193" s="2">
        <v>14.17</v>
      </c>
      <c r="E193" s="1">
        <v>4.7700000000000005</v>
      </c>
      <c r="F193" s="1">
        <f>D193*E193</f>
      </c>
    </row>
    <row r="194">
      <c r="A194" t="str">
        <v>IEI015</v>
      </c>
      <c r="B194" t="str">
        <v>Ud</v>
      </c>
      <c r="C194" t="str">
        <v xml:space="preserve">         Red eléctrica de distribución interior de una vivienda unifamili</v>
      </c>
      <c r="D194" s="2">
        <v>1</v>
      </c>
      <c r="E194" s="1">
        <v>884.1150000000001</v>
      </c>
      <c r="F194" s="1">
        <f>D194*E194</f>
      </c>
    </row>
    <row r="195">
      <c r="A195" t="str">
        <v>IF</v>
      </c>
      <c r="B195" t="str">
        <v/>
      </c>
      <c r="C195" t="str">
        <v xml:space="preserve">      Fontanería</v>
      </c>
      <c r="D195" t="str">
        <v/>
      </c>
      <c r="E195" t="str">
        <v/>
      </c>
      <c r="F195" s="1">
        <f>F196+F197+F198+F199+F200+F201+F202</f>
      </c>
    </row>
    <row r="196">
      <c r="A196" t="str">
        <v>IFA010</v>
      </c>
      <c r="B196" t="str">
        <v>Ud</v>
      </c>
      <c r="C196" t="str">
        <v xml:space="preserve">         Acometida enterrada de abastecimiento de agua potable</v>
      </c>
      <c r="D196" s="2">
        <v>1</v>
      </c>
      <c r="E196" s="1">
        <v>124.36509999999998</v>
      </c>
      <c r="F196" s="1">
        <f>D196*E196</f>
      </c>
    </row>
    <row r="197">
      <c r="A197" t="str">
        <v>IFB010</v>
      </c>
      <c r="B197" t="str">
        <v>Ud</v>
      </c>
      <c r="C197" t="str">
        <v xml:space="preserve">         Alimentación de agua potable</v>
      </c>
      <c r="D197" s="2">
        <v>1</v>
      </c>
      <c r="E197" s="1">
        <v>11.872</v>
      </c>
      <c r="F197" s="1">
        <f>D197*E197</f>
      </c>
    </row>
    <row r="198">
      <c r="A198" t="str">
        <v>IFC010</v>
      </c>
      <c r="B198" t="str">
        <v>Ud</v>
      </c>
      <c r="C198" t="str">
        <v xml:space="preserve">         Preinstalación de contador general de agua</v>
      </c>
      <c r="D198" s="2">
        <v>1</v>
      </c>
      <c r="E198" s="1">
        <v>22.788799999999995</v>
      </c>
      <c r="F198" s="1">
        <f>D198*E198</f>
      </c>
    </row>
    <row r="199">
      <c r="A199" t="str">
        <v>IFI010</v>
      </c>
      <c r="B199" t="str">
        <v>Ud</v>
      </c>
      <c r="C199" t="str">
        <v xml:space="preserve">         Instalación interior de fontanería para aseo</v>
      </c>
      <c r="D199" s="2">
        <v>1</v>
      </c>
      <c r="E199" s="1">
        <v>139.35999999999999</v>
      </c>
      <c r="F199" s="1">
        <f>D199*E199</f>
      </c>
    </row>
    <row r="200">
      <c r="A200" t="str">
        <v>IFI010b</v>
      </c>
      <c r="B200" t="str">
        <v>Ud</v>
      </c>
      <c r="C200" t="str">
        <v xml:space="preserve">         Instalación interior de fontanería para cuarto de baño</v>
      </c>
      <c r="D200" s="2">
        <v>1</v>
      </c>
      <c r="E200" s="1">
        <v>191.21800000000002</v>
      </c>
      <c r="F200" s="1">
        <f>D200*E200</f>
      </c>
    </row>
    <row r="201">
      <c r="A201" t="str">
        <v>IFI010c</v>
      </c>
      <c r="B201" t="str">
        <v>Ud</v>
      </c>
      <c r="C201" t="str">
        <v xml:space="preserve">         Instalación interior de fontanería para cocina</v>
      </c>
      <c r="D201" s="2">
        <v>1</v>
      </c>
      <c r="E201" s="1">
        <v>132.242</v>
      </c>
      <c r="F201" s="1">
        <f>D201*E201</f>
      </c>
    </row>
    <row r="202">
      <c r="A202" t="str">
        <v>IFI010d</v>
      </c>
      <c r="B202" t="str">
        <v>Ud</v>
      </c>
      <c r="C202" t="str">
        <v xml:space="preserve">         Instalación interior de fontanería para lavadero</v>
      </c>
      <c r="D202" s="2">
        <v>1</v>
      </c>
      <c r="E202" s="1">
        <v>123.19800000000001</v>
      </c>
      <c r="F202" s="1">
        <f>D202*E202</f>
      </c>
    </row>
    <row r="203">
      <c r="A203" t="str">
        <v>II</v>
      </c>
      <c r="B203" t="str">
        <v/>
      </c>
      <c r="C203" t="str">
        <v xml:space="preserve">      Iluminación</v>
      </c>
      <c r="D203" t="str">
        <v/>
      </c>
      <c r="E203" t="str">
        <v/>
      </c>
      <c r="F203" s="1">
        <f>F204</f>
      </c>
    </row>
    <row r="204">
      <c r="A204" t="str">
        <v>Pa4</v>
      </c>
      <c r="B204" t="str">
        <v/>
      </c>
      <c r="C204" t="str">
        <v xml:space="preserve">         Luminarias exterior e interior</v>
      </c>
      <c r="D204" s="2">
        <v>1</v>
      </c>
      <c r="E204" s="1">
        <v>0</v>
      </c>
      <c r="F204" s="1">
        <f>D204*E204</f>
      </c>
    </row>
    <row r="205">
      <c r="A205" t="str">
        <v>IS</v>
      </c>
      <c r="B205" t="str">
        <v/>
      </c>
      <c r="C205" t="str">
        <v xml:space="preserve">      Salubridad</v>
      </c>
      <c r="D205" t="str">
        <v/>
      </c>
      <c r="E205" t="str">
        <v/>
      </c>
      <c r="F205" s="1">
        <f>F206+F207+F208+F209+F210+F211+F212+F213+F214+F215</f>
      </c>
    </row>
    <row r="206">
      <c r="A206" t="str">
        <v>ISB010</v>
      </c>
      <c r="B206" t="str">
        <v>m</v>
      </c>
      <c r="C206" t="str">
        <v xml:space="preserve">         Bajante interior de la red de evacuación de aguas residuales</v>
      </c>
      <c r="D206" s="2">
        <v>3.25</v>
      </c>
      <c r="E206" s="1">
        <v>6.732399999999998</v>
      </c>
      <c r="F206" s="1">
        <f>D206*E206</f>
      </c>
    </row>
    <row r="207">
      <c r="A207" t="str">
        <v>ISB010b</v>
      </c>
      <c r="B207" t="str">
        <v>m</v>
      </c>
      <c r="C207" t="str">
        <v xml:space="preserve">         Bajante interior de la red de evacuación de aguas residuales</v>
      </c>
      <c r="D207" s="2">
        <v>6.5</v>
      </c>
      <c r="E207" s="1">
        <v>8.8059</v>
      </c>
      <c r="F207" s="1">
        <f>D207*E207</f>
      </c>
    </row>
    <row r="208">
      <c r="A208" t="str">
        <v>ISD010</v>
      </c>
      <c r="B208" t="str">
        <v>Ud</v>
      </c>
      <c r="C208" t="str">
        <v xml:space="preserve">         Red interior de evacuación para aseo</v>
      </c>
      <c r="D208" s="2">
        <v>1</v>
      </c>
      <c r="E208" s="1">
        <v>59.59459999999999</v>
      </c>
      <c r="F208" s="1">
        <f>D208*E208</f>
      </c>
    </row>
    <row r="209">
      <c r="A209" t="str">
        <v>ISD010b</v>
      </c>
      <c r="B209" t="str">
        <v>Ud</v>
      </c>
      <c r="C209" t="str">
        <v xml:space="preserve">         Red interior de evacuación para cuarto de baño</v>
      </c>
      <c r="D209" s="2">
        <v>2</v>
      </c>
      <c r="E209" s="1">
        <v>101.7301</v>
      </c>
      <c r="F209" s="1">
        <f>D209*E209</f>
      </c>
    </row>
    <row r="210">
      <c r="A210" t="str">
        <v>ISD010c</v>
      </c>
      <c r="B210" t="str">
        <v>Ud</v>
      </c>
      <c r="C210" t="str">
        <v xml:space="preserve">         Red interior de evacuación para cocina</v>
      </c>
      <c r="D210" s="2">
        <v>1</v>
      </c>
      <c r="E210" s="1">
        <v>48.241499999999995</v>
      </c>
      <c r="F210" s="1">
        <f>D210*E210</f>
      </c>
    </row>
    <row r="211">
      <c r="A211" t="str">
        <v>ISH010c</v>
      </c>
      <c r="B211" t="str">
        <v>Ud</v>
      </c>
      <c r="C211" t="str">
        <v xml:space="preserve">         Boca de extracción, graduable</v>
      </c>
      <c r="D211" s="2">
        <v>3</v>
      </c>
      <c r="E211" s="1">
        <v>10.2358</v>
      </c>
      <c r="F211" s="1">
        <f>D211*E211</f>
      </c>
    </row>
    <row r="212">
      <c r="A212" t="str">
        <v>ISK010</v>
      </c>
      <c r="B212" t="str">
        <v>Ud</v>
      </c>
      <c r="C212" t="str">
        <v xml:space="preserve">         Extractor de cocina</v>
      </c>
      <c r="D212" s="2">
        <v>1</v>
      </c>
      <c r="E212" s="1">
        <v>33.932</v>
      </c>
      <c r="F212" s="1">
        <f>D212*E212</f>
      </c>
    </row>
    <row r="213">
      <c r="A213" t="str">
        <v>ISK030</v>
      </c>
      <c r="B213" t="str">
        <v>Ud</v>
      </c>
      <c r="C213" t="str">
        <v xml:space="preserve">         Aspirador giratorio con sombrero dinámico</v>
      </c>
      <c r="D213" s="2">
        <v>1</v>
      </c>
      <c r="E213" s="1">
        <v>72.8663</v>
      </c>
      <c r="F213" s="1">
        <f>D213*E213</f>
      </c>
    </row>
    <row r="214">
      <c r="A214" t="str">
        <v>ISV020</v>
      </c>
      <c r="B214" t="str">
        <v>m</v>
      </c>
      <c r="C214" t="str">
        <v xml:space="preserve">         Conducto circular de chapa de acero galvanizado</v>
      </c>
      <c r="D214" s="2">
        <v>5.22</v>
      </c>
      <c r="E214" s="1">
        <v>3.6085000000000003</v>
      </c>
      <c r="F214" s="1">
        <f>D214*E214</f>
      </c>
    </row>
    <row r="215">
      <c r="A215" t="str">
        <v>ICO015</v>
      </c>
      <c r="B215" t="str">
        <v>m</v>
      </c>
      <c r="C215" t="str">
        <v xml:space="preserve">         Chimenea modular metálica</v>
      </c>
      <c r="D215" s="2">
        <v>16</v>
      </c>
      <c r="E215" s="1">
        <v>90.145</v>
      </c>
      <c r="F215" s="1">
        <f>D215*E215</f>
      </c>
    </row>
    <row r="216">
      <c r="A216" t="str">
        <v>N</v>
      </c>
      <c r="B216" t="str">
        <v/>
      </c>
      <c r="C216" t="str">
        <v xml:space="preserve">   Aislamientos e impermeabilizaciones</v>
      </c>
      <c r="D216" t="str">
        <v/>
      </c>
      <c r="E216" t="str">
        <v/>
      </c>
      <c r="F216" s="1">
        <f>F217+F222</f>
      </c>
    </row>
    <row r="217">
      <c r="A217" t="str">
        <v>NA</v>
      </c>
      <c r="B217" t="str">
        <v/>
      </c>
      <c r="C217" t="str">
        <v xml:space="preserve">      Aislamientos</v>
      </c>
      <c r="D217" t="str">
        <v/>
      </c>
      <c r="E217" t="str">
        <v/>
      </c>
      <c r="F217" s="1">
        <f>F218+F219+F220+F221</f>
      </c>
    </row>
    <row r="218">
      <c r="A218" t="str">
        <v>NAF010</v>
      </c>
      <c r="B218" t="str">
        <v>m²</v>
      </c>
      <c r="C218" t="str">
        <v xml:space="preserve">         Aislamiento por el interior en fachada de poliuretano proyectado</v>
      </c>
      <c r="D218" s="2">
        <v>319.49</v>
      </c>
      <c r="E218" s="1">
        <v>2.72</v>
      </c>
      <c r="F218" s="1">
        <f>D218*E218</f>
      </c>
    </row>
    <row r="219">
      <c r="A219" t="str">
        <v>NAP020</v>
      </c>
      <c r="B219" t="str">
        <v>m²</v>
      </c>
      <c r="C219" t="str">
        <v xml:space="preserve">         Aislamiento intermedio en entramados autoportantes</v>
      </c>
      <c r="D219" s="2">
        <v>123.51</v>
      </c>
      <c r="E219" s="1">
        <v>2.1304000000000003</v>
      </c>
      <c r="F219" s="1">
        <f>D219*E219</f>
      </c>
    </row>
    <row r="220">
      <c r="A220" t="str">
        <v>NAL050</v>
      </c>
      <c r="B220" t="str">
        <v>m²</v>
      </c>
      <c r="C220" t="str">
        <v xml:space="preserve">         Aislamiento térmico de suelos</v>
      </c>
      <c r="D220" s="2">
        <v>98.51</v>
      </c>
      <c r="E220" s="1">
        <v>5.5423</v>
      </c>
      <c r="F220" s="1">
        <f>D220*E220</f>
      </c>
    </row>
    <row r="221">
      <c r="A221" t="str">
        <v>NAT010</v>
      </c>
      <c r="B221" t="str">
        <v>m²</v>
      </c>
      <c r="C221" t="str">
        <v xml:space="preserve">         Aislamiento sobre falso techo</v>
      </c>
      <c r="D221" s="2">
        <v>5.7</v>
      </c>
      <c r="E221" s="1">
        <v>6.1296</v>
      </c>
      <c r="F221" s="1">
        <f>D221*E221</f>
      </c>
    </row>
    <row r="222">
      <c r="A222" t="str">
        <v>NI</v>
      </c>
      <c r="B222" t="str">
        <v/>
      </c>
      <c r="C222" t="str">
        <v xml:space="preserve">      Impermeabilizaciones</v>
      </c>
      <c r="D222" t="str">
        <v/>
      </c>
      <c r="E222" t="str">
        <v/>
      </c>
      <c r="F222" s="1">
        <f>F223</f>
      </c>
    </row>
    <row r="223">
      <c r="A223" t="str">
        <v>NIG040</v>
      </c>
      <c r="B223" t="str">
        <v>m²</v>
      </c>
      <c r="C223" t="str">
        <v xml:space="preserve">         Impermeabilización de solera mediante lámina de PVC</v>
      </c>
      <c r="D223" s="2">
        <v>192.2</v>
      </c>
      <c r="E223" s="1">
        <v>3.5285</v>
      </c>
      <c r="F223" s="1">
        <f>D223*E223</f>
      </c>
    </row>
    <row r="224">
      <c r="A224" t="str">
        <v>Q</v>
      </c>
      <c r="B224" t="str">
        <v/>
      </c>
      <c r="C224" t="str">
        <v xml:space="preserve">   Cubiertas</v>
      </c>
      <c r="D224" t="str">
        <v/>
      </c>
      <c r="E224" t="str">
        <v/>
      </c>
      <c r="F224" s="1">
        <f>F225+F227</f>
      </c>
    </row>
    <row r="225">
      <c r="A225" t="str">
        <v>QA</v>
      </c>
      <c r="B225" t="str">
        <v/>
      </c>
      <c r="C225" t="str">
        <v xml:space="preserve">      Planas</v>
      </c>
      <c r="D225" t="str">
        <v/>
      </c>
      <c r="E225" t="str">
        <v/>
      </c>
      <c r="F225" s="1">
        <f>F226</f>
      </c>
    </row>
    <row r="226">
      <c r="A226" t="str">
        <v>QTZ010</v>
      </c>
      <c r="B226" t="str">
        <v>m²</v>
      </c>
      <c r="C226" t="str">
        <v xml:space="preserve">         Cubierta zinctitanio</v>
      </c>
      <c r="D226" s="2">
        <v>12.67</v>
      </c>
      <c r="E226" s="1">
        <v>42.32480000000001</v>
      </c>
      <c r="F226" s="1">
        <f>D226*E226</f>
      </c>
    </row>
    <row r="227">
      <c r="A227" t="str">
        <v>QT</v>
      </c>
      <c r="B227" t="str">
        <v/>
      </c>
      <c r="C227" t="str">
        <v xml:space="preserve">      Inclinadas</v>
      </c>
      <c r="D227" t="str">
        <v/>
      </c>
      <c r="E227" t="str">
        <v/>
      </c>
      <c r="F227" s="1">
        <f>F228+F229+F230</f>
      </c>
    </row>
    <row r="228">
      <c r="A228" t="str">
        <v>QTT210</v>
      </c>
      <c r="B228" t="str">
        <v>m²</v>
      </c>
      <c r="C228" t="str">
        <v xml:space="preserve">         Cubierta inclinada sobre espacio habitable</v>
      </c>
      <c r="D228" s="2">
        <v>235.05</v>
      </c>
      <c r="E228" s="1">
        <v>49.37880000000001</v>
      </c>
      <c r="F228" s="1">
        <f>D228*E228</f>
      </c>
    </row>
    <row r="229">
      <c r="A229" t="str">
        <v>QTT020</v>
      </c>
      <c r="B229" t="str">
        <v>m²</v>
      </c>
      <c r="C229" t="str">
        <v xml:space="preserve">         Cubierta inclinada sobre espacio no habitable</v>
      </c>
      <c r="D229" s="2">
        <v>120.54</v>
      </c>
      <c r="E229" s="1">
        <v>28.3069</v>
      </c>
      <c r="F229" s="1">
        <f>D229*E229</f>
      </c>
    </row>
    <row r="230">
      <c r="A230" t="str">
        <v>Pa10</v>
      </c>
      <c r="B230" t="str">
        <v>ud</v>
      </c>
      <c r="C230" t="str">
        <v xml:space="preserve">         Formacion de chimenea en cubierta inclinada</v>
      </c>
      <c r="D230" s="2">
        <v>3</v>
      </c>
      <c r="E230" s="1">
        <v>0</v>
      </c>
      <c r="F230" s="1">
        <f>D230*E230</f>
      </c>
    </row>
    <row r="231">
      <c r="A231" t="str">
        <v>R</v>
      </c>
      <c r="B231" t="str">
        <v/>
      </c>
      <c r="C231" t="str">
        <v xml:space="preserve">   Revestimientos</v>
      </c>
      <c r="D231" t="str">
        <v/>
      </c>
      <c r="E231" t="str">
        <v/>
      </c>
      <c r="F231" s="1">
        <f>F232+F234+F236+F238+F240+F242+F244+F248+F260</f>
      </c>
    </row>
    <row r="232">
      <c r="A232" t="str">
        <v>RA</v>
      </c>
      <c r="B232" t="str">
        <v/>
      </c>
      <c r="C232" t="str">
        <v xml:space="preserve">      Alicatados</v>
      </c>
      <c r="D232" t="str">
        <v/>
      </c>
      <c r="E232" t="str">
        <v/>
      </c>
      <c r="F232" s="1">
        <f>F233</f>
      </c>
    </row>
    <row r="233">
      <c r="A233" t="str">
        <v>RAG012</v>
      </c>
      <c r="B233" t="str">
        <v>m²</v>
      </c>
      <c r="C233" t="str">
        <v xml:space="preserve">         Alicatado con azulejo liso, 1/0/-/-, 20x20 cm</v>
      </c>
      <c r="D233" s="2">
        <v>142.41</v>
      </c>
      <c r="E233" s="1">
        <v>9.279</v>
      </c>
      <c r="F233" s="1">
        <f>D233*E233</f>
      </c>
    </row>
    <row r="234">
      <c r="A234" t="str">
        <v>RE</v>
      </c>
      <c r="B234" t="str">
        <v/>
      </c>
      <c r="C234" t="str">
        <v xml:space="preserve">      Escaleras</v>
      </c>
      <c r="D234" t="str">
        <v/>
      </c>
      <c r="E234" t="str">
        <v/>
      </c>
      <c r="F234" s="1">
        <f>F235</f>
      </c>
    </row>
    <row r="235">
      <c r="A235" t="str">
        <v>Pa6</v>
      </c>
      <c r="B235" t="str">
        <v>m</v>
      </c>
      <c r="C235" t="str">
        <v xml:space="preserve">         Peldañeado de tablero de madera</v>
      </c>
      <c r="D235" s="2">
        <v>17</v>
      </c>
      <c r="E235" s="1">
        <v>0</v>
      </c>
      <c r="F235" s="1">
        <f>D235*E235</f>
      </c>
    </row>
    <row r="236">
      <c r="A236" t="str">
        <v>RF</v>
      </c>
      <c r="B236" t="str">
        <v/>
      </c>
      <c r="C236" t="str">
        <v xml:space="preserve">      Pinturas en paramentos exteriores</v>
      </c>
      <c r="D236" t="str">
        <v/>
      </c>
      <c r="E236" t="str">
        <v/>
      </c>
      <c r="F236" s="1">
        <f>F237</f>
      </c>
    </row>
    <row r="237">
      <c r="A237" t="str">
        <v>RFP010</v>
      </c>
      <c r="B237" t="str">
        <v>m²</v>
      </c>
      <c r="C237" t="str">
        <v xml:space="preserve">         Revestimiento decorativo de fachadas con pintura plástica lisa</v>
      </c>
      <c r="D237" s="2">
        <v>316.97</v>
      </c>
      <c r="E237" s="1">
        <v>4.675</v>
      </c>
      <c r="F237" s="1">
        <f>D237*E237</f>
      </c>
    </row>
    <row r="238">
      <c r="A238" t="str">
        <v>RI</v>
      </c>
      <c r="B238" t="str">
        <v/>
      </c>
      <c r="C238" t="str">
        <v xml:space="preserve">      Pinturas en paramentos interiores</v>
      </c>
      <c r="D238" t="str">
        <v/>
      </c>
      <c r="E238" t="str">
        <v/>
      </c>
      <c r="F238" s="1">
        <f>F239</f>
      </c>
    </row>
    <row r="239">
      <c r="A239" t="str">
        <v>RIP035</v>
      </c>
      <c r="B239" t="str">
        <v>m²</v>
      </c>
      <c r="C239" t="str">
        <v xml:space="preserve">         Pintura plástica sobre paramentos horizontales y verticales inte</v>
      </c>
      <c r="D239" s="2">
        <v>817.17</v>
      </c>
      <c r="E239" s="1">
        <v>3.7098000000000004</v>
      </c>
      <c r="F239" s="1">
        <f>D239*E239</f>
      </c>
    </row>
    <row r="240">
      <c r="A240" t="str">
        <v>RM</v>
      </c>
      <c r="B240" t="str">
        <v/>
      </c>
      <c r="C240" t="str">
        <v xml:space="preserve">      Pinturas sobre soporte de madera</v>
      </c>
      <c r="D240" t="str">
        <v/>
      </c>
      <c r="E240" t="str">
        <v/>
      </c>
      <c r="F240" s="1">
        <f>F241</f>
      </c>
    </row>
    <row r="241">
      <c r="A241" t="str">
        <v>RME020</v>
      </c>
      <c r="B241" t="str">
        <v>m²</v>
      </c>
      <c r="C241" t="str">
        <v xml:space="preserve">         Esmalte sintético, color blanco, acabado satinado</v>
      </c>
      <c r="D241" s="2">
        <v>12.3</v>
      </c>
      <c r="E241" s="1">
        <v>4.5503</v>
      </c>
      <c r="F241" s="1">
        <f>D241*E241</f>
      </c>
    </row>
    <row r="242">
      <c r="A242" t="str">
        <v>RN</v>
      </c>
      <c r="B242" t="str">
        <v/>
      </c>
      <c r="C242" t="str">
        <v xml:space="preserve">      Pinturas sobre soporte metálico</v>
      </c>
      <c r="D242" t="str">
        <v/>
      </c>
      <c r="E242" t="str">
        <v/>
      </c>
      <c r="F242" s="1">
        <f>F243</f>
      </c>
    </row>
    <row r="243">
      <c r="A243" t="str">
        <v>RNP010</v>
      </c>
      <c r="B243" t="str">
        <v>m²</v>
      </c>
      <c r="C243" t="str">
        <v xml:space="preserve">         Pintura plástica sobre soporte metálico Hemmerite o similar</v>
      </c>
      <c r="D243" s="2">
        <v>10</v>
      </c>
      <c r="E243" s="1">
        <v>6.2974</v>
      </c>
      <c r="F243" s="1">
        <f>D243*E243</f>
      </c>
    </row>
    <row r="244">
      <c r="A244" t="str">
        <v>RP</v>
      </c>
      <c r="B244" t="str">
        <v/>
      </c>
      <c r="C244" t="str">
        <v xml:space="preserve">      Conglomerados tradicionales</v>
      </c>
      <c r="D244" t="str">
        <v/>
      </c>
      <c r="E244" t="str">
        <v/>
      </c>
      <c r="F244" s="1">
        <f>F245+F246+F247</f>
      </c>
    </row>
    <row r="245">
      <c r="A245" t="str">
        <v>RPE010</v>
      </c>
      <c r="B245" t="str">
        <v>m²</v>
      </c>
      <c r="C245" t="str">
        <v xml:space="preserve">         Enfoscado de cemento exterior, armado y reforzado con malla anti</v>
      </c>
      <c r="D245" s="2">
        <v>306.59</v>
      </c>
      <c r="E245" s="1">
        <v>8.8186</v>
      </c>
      <c r="F245" s="1">
        <f>D245*E245</f>
      </c>
    </row>
    <row r="246">
      <c r="A246" t="str">
        <v>RPE005</v>
      </c>
      <c r="B246" t="str">
        <v>m²</v>
      </c>
      <c r="C246" t="str">
        <v xml:space="preserve">         Enfoscado de cemento, a buena vista</v>
      </c>
      <c r="D246" s="2">
        <v>112.75</v>
      </c>
      <c r="E246" s="1">
        <v>5.3822</v>
      </c>
      <c r="F246" s="1">
        <f>D246*E246</f>
      </c>
    </row>
    <row r="247">
      <c r="A247" t="str">
        <v>RPG011</v>
      </c>
      <c r="B247" t="str">
        <v>m²</v>
      </c>
      <c r="C247" t="str">
        <v xml:space="preserve">         Enlucido de yeso de aplicación en capa fina</v>
      </c>
      <c r="D247" s="2">
        <v>112.75</v>
      </c>
      <c r="E247" s="1">
        <v>0.9688000000000001</v>
      </c>
      <c r="F247" s="1">
        <f>D247*E247</f>
      </c>
    </row>
    <row r="248">
      <c r="A248" t="str">
        <v>RS</v>
      </c>
      <c r="B248" t="str">
        <v/>
      </c>
      <c r="C248" t="str">
        <v xml:space="preserve">      Suelos y pavimentos</v>
      </c>
      <c r="D248" t="str">
        <v/>
      </c>
      <c r="E248" t="str">
        <v/>
      </c>
      <c r="F248" s="1">
        <f>F249+F250+F251+F252+F253+F254+F255+F256+F257+F258+F259</f>
      </c>
    </row>
    <row r="249">
      <c r="A249" t="str">
        <v>RSB010</v>
      </c>
      <c r="B249" t="str">
        <v>m²</v>
      </c>
      <c r="C249" t="str">
        <v xml:space="preserve">         Recrecido de mortero M-10 de 5 cm de espesor</v>
      </c>
      <c r="D249" s="2">
        <v>224.66</v>
      </c>
      <c r="E249" s="1">
        <v>5.5297</v>
      </c>
      <c r="F249" s="1">
        <f>D249*E249</f>
      </c>
    </row>
    <row r="250">
      <c r="A250" t="str">
        <v>RSG011</v>
      </c>
      <c r="B250" t="str">
        <v>m²</v>
      </c>
      <c r="C250" t="str">
        <v xml:space="preserve">         Solado de baldosas cerámicas de gres rústico</v>
      </c>
      <c r="D250" s="2">
        <v>150.91</v>
      </c>
      <c r="E250" s="1">
        <v>8.7456</v>
      </c>
      <c r="F250" s="1">
        <f>D250*E250</f>
      </c>
    </row>
    <row r="251">
      <c r="A251" t="str">
        <v>RSM022</v>
      </c>
      <c r="B251" t="str">
        <v>m²</v>
      </c>
      <c r="C251" t="str">
        <v xml:space="preserve">         Pavimento de tarima para exterior con rastreles</v>
      </c>
      <c r="D251" s="2">
        <v>29.18</v>
      </c>
      <c r="E251" s="1">
        <v>30.7113</v>
      </c>
      <c r="F251" s="1">
        <f>D251*E251</f>
      </c>
    </row>
    <row r="252">
      <c r="A252" t="str">
        <v>RSY050</v>
      </c>
      <c r="B252" t="str">
        <v>m²</v>
      </c>
      <c r="C252" t="str">
        <v xml:space="preserve">         Lijado y aceitado de tarima</v>
      </c>
      <c r="D252" s="2">
        <v>29.18</v>
      </c>
      <c r="E252" s="1">
        <v>6.4065</v>
      </c>
      <c r="F252" s="1">
        <f>D252*E252</f>
      </c>
    </row>
    <row r="253">
      <c r="A253" t="str">
        <v>RSP011</v>
      </c>
      <c r="B253" t="str">
        <v>m²</v>
      </c>
      <c r="C253" t="str">
        <v xml:space="preserve">         Solado de baldosas de granito</v>
      </c>
      <c r="D253" s="2">
        <v>78.85</v>
      </c>
      <c r="E253" s="1">
        <v>26.388400000000004</v>
      </c>
      <c r="F253" s="1">
        <f>D253*E253</f>
      </c>
    </row>
    <row r="254">
      <c r="A254" t="str">
        <v>RSM040</v>
      </c>
      <c r="B254" t="str">
        <v>m²</v>
      </c>
      <c r="C254" t="str">
        <v xml:space="preserve">         Pavimento de parquet flotante de roble</v>
      </c>
      <c r="D254" s="2">
        <v>87.3</v>
      </c>
      <c r="E254" s="1">
        <v>12.590600000000002</v>
      </c>
      <c r="F254" s="1">
        <f>D254*E254</f>
      </c>
    </row>
    <row r="255">
      <c r="A255" t="str">
        <v>RSG020</v>
      </c>
      <c r="B255" t="str">
        <v>m</v>
      </c>
      <c r="C255" t="str">
        <v xml:space="preserve">         Rodapié cerámico de gres rústico</v>
      </c>
      <c r="D255" s="2">
        <v>60.09</v>
      </c>
      <c r="E255" s="1">
        <v>5.2806999999999995</v>
      </c>
      <c r="F255" s="1">
        <f>D255*E255</f>
      </c>
    </row>
    <row r="256">
      <c r="A256" t="str">
        <v>RSM050</v>
      </c>
      <c r="B256" t="str">
        <v>m</v>
      </c>
      <c r="C256" t="str">
        <v xml:space="preserve">         Rodapié de MDF acabado roble 6x1,2 cm.</v>
      </c>
      <c r="D256" s="2">
        <v>77.76</v>
      </c>
      <c r="E256" s="1">
        <v>3.1297999999999995</v>
      </c>
      <c r="F256" s="1">
        <f>D256*E256</f>
      </c>
    </row>
    <row r="257">
      <c r="A257" t="str">
        <v>RSP020</v>
      </c>
      <c r="B257" t="str">
        <v>m</v>
      </c>
      <c r="C257" t="str">
        <v xml:space="preserve">         Rodapié de granito Silvestre GT, 7x1 cm</v>
      </c>
      <c r="D257" s="2">
        <v>44.59</v>
      </c>
      <c r="E257" s="1">
        <v>6.7966999999999995</v>
      </c>
      <c r="F257" s="1">
        <f>D257*E257</f>
      </c>
    </row>
    <row r="258">
      <c r="A258" t="str">
        <v>RSG010</v>
      </c>
      <c r="B258" t="str">
        <v>m²</v>
      </c>
      <c r="C258" t="str">
        <v xml:space="preserve">         Solado de baldosas cerámicas de gres porcelánico</v>
      </c>
      <c r="D258" s="2">
        <v>17.95</v>
      </c>
      <c r="E258" s="1">
        <v>17.992700000000003</v>
      </c>
      <c r="F258" s="1">
        <f>D258*E258</f>
      </c>
    </row>
    <row r="259">
      <c r="A259" t="str">
        <v>RSM021</v>
      </c>
      <c r="B259" t="str">
        <v>m²</v>
      </c>
      <c r="C259" t="str">
        <v xml:space="preserve">         Pavimento de tarima flotante</v>
      </c>
      <c r="D259" s="2">
        <v>14</v>
      </c>
      <c r="E259" s="1">
        <v>72.9364</v>
      </c>
      <c r="F259" s="1">
        <f>D259*E259</f>
      </c>
    </row>
    <row r="260">
      <c r="A260" t="str">
        <v>RT</v>
      </c>
      <c r="B260" t="str">
        <v/>
      </c>
      <c r="C260" t="str">
        <v xml:space="preserve">      Falsos techos</v>
      </c>
      <c r="D260" t="str">
        <v/>
      </c>
      <c r="E260" t="str">
        <v/>
      </c>
      <c r="F260" s="1">
        <f>F261</f>
      </c>
    </row>
    <row r="261">
      <c r="A261" t="str">
        <v>RTC015</v>
      </c>
      <c r="B261" t="str">
        <v>m²</v>
      </c>
      <c r="C261" t="str">
        <v xml:space="preserve">         Falso techo continuo liso</v>
      </c>
      <c r="D261" s="2">
        <v>36.1</v>
      </c>
      <c r="E261" s="1">
        <v>9.0494</v>
      </c>
      <c r="F261" s="1">
        <f>D261*E261</f>
      </c>
    </row>
    <row r="262">
      <c r="A262" t="str">
        <v>S</v>
      </c>
      <c r="B262" t="str">
        <v/>
      </c>
      <c r="C262" t="str">
        <v xml:space="preserve">   Señalización y equipamiento</v>
      </c>
      <c r="D262" t="str">
        <v/>
      </c>
      <c r="E262" t="str">
        <v/>
      </c>
      <c r="F262" s="1">
        <f>F263+F267</f>
      </c>
    </row>
    <row r="263">
      <c r="A263" t="str">
        <v>SM</v>
      </c>
      <c r="B263" t="str">
        <v/>
      </c>
      <c r="C263" t="str">
        <v xml:space="preserve">      Baños</v>
      </c>
      <c r="D263" t="str">
        <v/>
      </c>
      <c r="E263" t="str">
        <v/>
      </c>
      <c r="F263" s="1">
        <f>F264+F265+F266</f>
      </c>
    </row>
    <row r="264">
      <c r="A264" t="str">
        <v>SMS010</v>
      </c>
      <c r="B264" t="str">
        <v>Ud</v>
      </c>
      <c r="C264" t="str">
        <v xml:space="preserve">         Conjunto de aparatos sanitarios y griferias para aseo</v>
      </c>
      <c r="D264" s="2">
        <v>1</v>
      </c>
      <c r="E264" s="1">
        <v>212.16299999999998</v>
      </c>
      <c r="F264" s="1">
        <f>D264*E264</f>
      </c>
    </row>
    <row r="265">
      <c r="A265" t="str">
        <v>SMS010b</v>
      </c>
      <c r="B265" t="str">
        <v>Ud</v>
      </c>
      <c r="C265" t="str">
        <v xml:space="preserve">         Conjunto de aparatos sanitarios para baño1</v>
      </c>
      <c r="D265" s="2">
        <v>1</v>
      </c>
      <c r="E265" s="1">
        <v>347.14899999999994</v>
      </c>
      <c r="F265" s="1">
        <f>D265*E265</f>
      </c>
    </row>
    <row r="266">
      <c r="A266" t="str">
        <v>SMS010d</v>
      </c>
      <c r="B266" t="str">
        <v>Ud</v>
      </c>
      <c r="C266" t="str">
        <v xml:space="preserve">         Conjunto de aparatos sanitarios para baño2</v>
      </c>
      <c r="D266" s="2">
        <v>1</v>
      </c>
      <c r="E266" s="1">
        <v>373.6995999999999</v>
      </c>
      <c r="F266" s="1">
        <f>D266*E266</f>
      </c>
    </row>
    <row r="267">
      <c r="A267" t="str">
        <v>SC</v>
      </c>
      <c r="B267" t="str">
        <v/>
      </c>
      <c r="C267" t="str">
        <v xml:space="preserve">      Cocinas/galerías</v>
      </c>
      <c r="D267" t="str">
        <v/>
      </c>
      <c r="E267" t="str">
        <v/>
      </c>
      <c r="F267" s="1">
        <f>F268</f>
      </c>
    </row>
    <row r="268">
      <c r="A268" t="str">
        <v>Pa7</v>
      </c>
      <c r="B268" t="str">
        <v>ud</v>
      </c>
      <c r="C268" t="str">
        <v xml:space="preserve">         Cocina completa</v>
      </c>
      <c r="D268" s="2">
        <v>1</v>
      </c>
      <c r="E268" s="1">
        <v>0</v>
      </c>
      <c r="F268" s="1">
        <f>D268*E268</f>
      </c>
    </row>
    <row r="269">
      <c r="A269" t="str">
        <v>G</v>
      </c>
      <c r="B269" t="str">
        <v/>
      </c>
      <c r="C269" t="str">
        <v xml:space="preserve">   Gestión de residuos</v>
      </c>
      <c r="D269" t="str">
        <v/>
      </c>
      <c r="E269" t="str">
        <v/>
      </c>
      <c r="F269" s="1">
        <f>F270+F272</f>
      </c>
    </row>
    <row r="270">
      <c r="A270" t="str">
        <v>GT</v>
      </c>
      <c r="B270" t="str">
        <v/>
      </c>
      <c r="C270" t="str">
        <v xml:space="preserve">      Transporte de tierras</v>
      </c>
      <c r="D270" t="str">
        <v/>
      </c>
      <c r="E270" t="str">
        <v/>
      </c>
      <c r="F270" s="1">
        <f>F271</f>
      </c>
    </row>
    <row r="271">
      <c r="A271" t="str">
        <v>GTA010</v>
      </c>
      <c r="B271" t="str">
        <v>m³</v>
      </c>
      <c r="C271" t="str">
        <v xml:space="preserve">         Transporte de tierras con camión a vertedero específico</v>
      </c>
      <c r="D271" s="2">
        <v>125.87</v>
      </c>
      <c r="E271" s="1">
        <v>1.8161000000000003</v>
      </c>
      <c r="F271" s="1">
        <f>D271*E271</f>
      </c>
    </row>
    <row r="272">
      <c r="A272" t="str">
        <v>GR</v>
      </c>
      <c r="B272" t="str">
        <v/>
      </c>
      <c r="C272" t="str">
        <v xml:space="preserve">      Transporte de residuos inertes</v>
      </c>
      <c r="D272" t="str">
        <v/>
      </c>
      <c r="E272" t="str">
        <v/>
      </c>
      <c r="F272" s="1">
        <f>F273+F274+F275+F276+F277+F278+F279+F280</f>
      </c>
    </row>
    <row r="273">
      <c r="A273" t="str">
        <v>GRA010</v>
      </c>
      <c r="B273" t="str">
        <v>Ud</v>
      </c>
      <c r="C273" t="str">
        <v xml:space="preserve">         Transporte de residuos inertes de hormigón</v>
      </c>
      <c r="D273" s="2">
        <v>1</v>
      </c>
      <c r="E273" s="1">
        <v>125.57430000000001</v>
      </c>
      <c r="F273" s="1">
        <f>D273*E273</f>
      </c>
    </row>
    <row r="274">
      <c r="A274" t="str">
        <v>GRA010b</v>
      </c>
      <c r="B274" t="str">
        <v>Ud</v>
      </c>
      <c r="C274" t="str">
        <v xml:space="preserve">         Transporte de residuos inertes de ladrillos, tejas y materiales</v>
      </c>
      <c r="D274" s="2">
        <v>2</v>
      </c>
      <c r="E274" s="1">
        <v>125.5854</v>
      </c>
      <c r="F274" s="1">
        <f>D274*E274</f>
      </c>
    </row>
    <row r="275">
      <c r="A275" t="str">
        <v>GRA010c</v>
      </c>
      <c r="B275" t="str">
        <v>Ud</v>
      </c>
      <c r="C275" t="str">
        <v xml:space="preserve">         Transporte de residuos inertes de madera</v>
      </c>
      <c r="D275" s="2">
        <v>1</v>
      </c>
      <c r="E275" s="1">
        <v>204.02910000000003</v>
      </c>
      <c r="F275" s="1">
        <f>D275*E275</f>
      </c>
    </row>
    <row r="276">
      <c r="A276" t="str">
        <v>GRA010d</v>
      </c>
      <c r="B276" t="str">
        <v>Ud</v>
      </c>
      <c r="C276" t="str">
        <v xml:space="preserve">         Transporte de residuos inertes vítreos</v>
      </c>
      <c r="D276" s="2">
        <v>1</v>
      </c>
      <c r="E276" s="1">
        <v>204.0402</v>
      </c>
      <c r="F276" s="1">
        <f>D276*E276</f>
      </c>
    </row>
    <row r="277">
      <c r="A277" t="str">
        <v>GRA010e</v>
      </c>
      <c r="B277" t="str">
        <v>Ud</v>
      </c>
      <c r="C277" t="str">
        <v xml:space="preserve">         Transporte de residuos inertes plásticos</v>
      </c>
      <c r="D277" s="2">
        <v>1</v>
      </c>
      <c r="E277" s="1">
        <v>204.02910000000003</v>
      </c>
      <c r="F277" s="1">
        <f>D277*E277</f>
      </c>
    </row>
    <row r="278">
      <c r="A278" t="str">
        <v>GRA010f</v>
      </c>
      <c r="B278" t="str">
        <v>Ud</v>
      </c>
      <c r="C278" t="str">
        <v xml:space="preserve">         Transporte de residuos inertes de papel y cartón</v>
      </c>
      <c r="D278" s="2">
        <v>1</v>
      </c>
      <c r="E278" s="1">
        <v>204.02910000000003</v>
      </c>
      <c r="F278" s="1">
        <f>D278*E278</f>
      </c>
    </row>
    <row r="279">
      <c r="A279" t="str">
        <v>GRA010g</v>
      </c>
      <c r="B279" t="str">
        <v>Ud</v>
      </c>
      <c r="C279" t="str">
        <v xml:space="preserve">         Transporte de residuos inertes metálicos</v>
      </c>
      <c r="D279" s="2">
        <v>1</v>
      </c>
      <c r="E279" s="1">
        <v>204.02910000000003</v>
      </c>
      <c r="F279" s="1">
        <f>D279*E279</f>
      </c>
    </row>
    <row r="280">
      <c r="A280" t="str">
        <v>GRA010h</v>
      </c>
      <c r="B280" t="str">
        <v>Ud</v>
      </c>
      <c r="C280" t="str">
        <v xml:space="preserve">         Transporte de mezcla sin clasificar de residuos inertes</v>
      </c>
      <c r="D280" s="2">
        <v>1</v>
      </c>
      <c r="E280" s="1">
        <v>251.13750000000002</v>
      </c>
      <c r="F280" s="1">
        <f>D280*E280</f>
      </c>
    </row>
    <row r="281">
      <c r="A281" t="str">
        <v>X</v>
      </c>
      <c r="B281" t="str">
        <v/>
      </c>
      <c r="C281" t="str">
        <v xml:space="preserve">   Control de calidad y ensayos</v>
      </c>
      <c r="D281" t="str">
        <v/>
      </c>
      <c r="E281" t="str">
        <v/>
      </c>
      <c r="F281" s="1">
        <f>F282+F288</f>
      </c>
    </row>
    <row r="282">
      <c r="A282" t="str">
        <v>XE</v>
      </c>
      <c r="B282" t="str">
        <v/>
      </c>
      <c r="C282" t="str">
        <v xml:space="preserve">      Estructuras de hormigón</v>
      </c>
      <c r="D282" t="str">
        <v/>
      </c>
      <c r="E282" t="str">
        <v/>
      </c>
      <c r="F282" s="1">
        <f>F283+F284+F285+F286+F287</f>
      </c>
    </row>
    <row r="283">
      <c r="A283" t="str">
        <v>XEB010</v>
      </c>
      <c r="B283" t="str">
        <v>Ud</v>
      </c>
      <c r="C283" t="str">
        <v xml:space="preserve">         Ensayo sobre una muestra de barras de acero corrugado</v>
      </c>
      <c r="D283" s="2">
        <v>3</v>
      </c>
      <c r="E283" s="1">
        <v>40.61</v>
      </c>
      <c r="F283" s="1">
        <f>D283*E283</f>
      </c>
    </row>
    <row r="284">
      <c r="A284" t="str">
        <v>XEB020</v>
      </c>
      <c r="B284" t="str">
        <v>Ud</v>
      </c>
      <c r="C284" t="str">
        <v xml:space="preserve">         Ensayo sobre una muestra de barras de acero corrugado</v>
      </c>
      <c r="D284" s="2">
        <v>1</v>
      </c>
      <c r="E284" s="1">
        <v>25.87</v>
      </c>
      <c r="F284" s="1">
        <f>D284*E284</f>
      </c>
    </row>
    <row r="285">
      <c r="A285" t="str">
        <v>XEM010</v>
      </c>
      <c r="B285" t="str">
        <v>Ud</v>
      </c>
      <c r="C285" t="str">
        <v xml:space="preserve">         Ensayo sobre una muestra de mallas electrosoldadas</v>
      </c>
      <c r="D285" s="2">
        <v>1</v>
      </c>
      <c r="E285" s="1">
        <v>66.32000000000001</v>
      </c>
      <c r="F285" s="1">
        <f>D285*E285</f>
      </c>
    </row>
    <row r="286">
      <c r="A286" t="str">
        <v>XEM020</v>
      </c>
      <c r="B286" t="str">
        <v>Ud</v>
      </c>
      <c r="C286" t="str">
        <v xml:space="preserve">         Ensayo sobre una muestra de una malla electrosoldada</v>
      </c>
      <c r="D286" s="2">
        <v>1</v>
      </c>
      <c r="E286" s="1">
        <v>25.89</v>
      </c>
      <c r="F286" s="1">
        <f>D286*E286</f>
      </c>
    </row>
    <row r="287">
      <c r="A287" t="str">
        <v>XEH010</v>
      </c>
      <c r="B287" t="str">
        <v>Ud</v>
      </c>
      <c r="C287" t="str">
        <v xml:space="preserve">         Ensayode: consistencia del hormigón fresco</v>
      </c>
      <c r="D287" s="2">
        <v>1</v>
      </c>
      <c r="E287" s="1">
        <v>44.14</v>
      </c>
      <c r="F287" s="1">
        <f>D287*E287</f>
      </c>
    </row>
    <row r="288">
      <c r="A288" t="str">
        <v>XM</v>
      </c>
      <c r="B288" t="str">
        <v/>
      </c>
      <c r="C288" t="str">
        <v xml:space="preserve">      Estructuras metálicas</v>
      </c>
      <c r="D288" t="str">
        <v/>
      </c>
      <c r="E288" t="str">
        <v/>
      </c>
      <c r="F288" s="1">
        <f>F289</f>
      </c>
    </row>
    <row r="289">
      <c r="A289" t="str">
        <v>XMP010</v>
      </c>
      <c r="B289" t="str">
        <v>Ud</v>
      </c>
      <c r="C289" t="str">
        <v xml:space="preserve">         Ensayo destructivo sobre una muestra de perfil laminado</v>
      </c>
      <c r="D289" s="2">
        <v>1</v>
      </c>
      <c r="E289" s="1">
        <v>102.53</v>
      </c>
      <c r="F289" s="1">
        <f>D289*E289</f>
      </c>
    </row>
    <row r="290">
      <c r="A290" t="str">
        <v>Y</v>
      </c>
      <c r="B290" t="str">
        <v/>
      </c>
      <c r="C290" t="str">
        <v xml:space="preserve">   Seguridad y salud</v>
      </c>
      <c r="D290" t="str">
        <v/>
      </c>
      <c r="E290" t="str">
        <v/>
      </c>
      <c r="F290" s="1">
        <f>F291+F299+F301+F321+F326+F328</f>
      </c>
    </row>
    <row r="291">
      <c r="A291" t="str">
        <v>YC</v>
      </c>
      <c r="B291" t="str">
        <v/>
      </c>
      <c r="C291" t="str">
        <v xml:space="preserve">      Sistemas de protección colectiva</v>
      </c>
      <c r="D291" t="str">
        <v/>
      </c>
      <c r="E291" t="str">
        <v/>
      </c>
      <c r="F291" s="1">
        <f>F292+F293+F294+F295+F296+F297+F298</f>
      </c>
    </row>
    <row r="292">
      <c r="A292" t="str">
        <v>YCE030</v>
      </c>
      <c r="B292" t="str">
        <v>m</v>
      </c>
      <c r="C292" t="str">
        <v xml:space="preserve">         Sistema provisional de protección de hueco</v>
      </c>
      <c r="D292" s="2">
        <v>0.4</v>
      </c>
      <c r="E292" s="1">
        <v>4.0354</v>
      </c>
      <c r="F292" s="1">
        <f>D292*E292</f>
      </c>
    </row>
    <row r="293">
      <c r="A293" t="str">
        <v>YCF050</v>
      </c>
      <c r="B293" t="str">
        <v>m</v>
      </c>
      <c r="C293" t="str">
        <v xml:space="preserve">         Sistema V de red de seguridad</v>
      </c>
      <c r="D293" s="2">
        <v>67.68</v>
      </c>
      <c r="E293" s="1">
        <v>3.8693000000000004</v>
      </c>
      <c r="F293" s="1">
        <f>D293*E293</f>
      </c>
    </row>
    <row r="294">
      <c r="A294" t="str">
        <v>YCI010</v>
      </c>
      <c r="B294" t="str">
        <v>m²</v>
      </c>
      <c r="C294" t="str">
        <v xml:space="preserve">         Repercusión de sistema anticaídas</v>
      </c>
      <c r="D294" s="2">
        <v>1</v>
      </c>
      <c r="E294" s="1">
        <v>0.36250000000000004</v>
      </c>
      <c r="F294" s="1">
        <f>D294*E294</f>
      </c>
    </row>
    <row r="295">
      <c r="A295" t="str">
        <v>YCM070</v>
      </c>
      <c r="B295" t="str">
        <v>m</v>
      </c>
      <c r="C295" t="str">
        <v xml:space="preserve">         Plataforma de trabajo en voladizo de madera</v>
      </c>
      <c r="D295" s="2">
        <v>3</v>
      </c>
      <c r="E295" s="1">
        <v>15.082600000000001</v>
      </c>
      <c r="F295" s="1">
        <f>D295*E295</f>
      </c>
    </row>
    <row r="296">
      <c r="A296" t="str">
        <v>YCS010</v>
      </c>
      <c r="B296" t="str">
        <v>Ud</v>
      </c>
      <c r="C296" t="str">
        <v xml:space="preserve">         Lámpara portátil de mano</v>
      </c>
      <c r="D296" s="2">
        <v>2</v>
      </c>
      <c r="E296" s="1">
        <v>2.0302</v>
      </c>
      <c r="F296" s="1">
        <f>D296*E296</f>
      </c>
    </row>
    <row r="297">
      <c r="A297" t="str">
        <v>YCS020</v>
      </c>
      <c r="B297" t="str">
        <v>Ud</v>
      </c>
      <c r="C297" t="str">
        <v xml:space="preserve">         Cuadro general de obra</v>
      </c>
      <c r="D297" s="2">
        <v>1</v>
      </c>
      <c r="E297" s="1">
        <v>120.57</v>
      </c>
      <c r="F297" s="1">
        <f>D297*E297</f>
      </c>
    </row>
    <row r="298">
      <c r="A298" t="str">
        <v>YCU010</v>
      </c>
      <c r="B298" t="str">
        <v>Ud</v>
      </c>
      <c r="C298" t="str">
        <v xml:space="preserve">         Extintor portátil de polvo químico ABC</v>
      </c>
      <c r="D298" s="2">
        <v>1</v>
      </c>
      <c r="E298" s="1">
        <v>6.5681</v>
      </c>
      <c r="F298" s="1">
        <f>D298*E298</f>
      </c>
    </row>
    <row r="299">
      <c r="A299" t="str">
        <v>YF</v>
      </c>
      <c r="B299" t="str">
        <v/>
      </c>
      <c r="C299" t="str">
        <v xml:space="preserve">      Formación</v>
      </c>
      <c r="D299" t="str">
        <v/>
      </c>
      <c r="E299" t="str">
        <v/>
      </c>
      <c r="F299" s="1">
        <f>F300</f>
      </c>
    </row>
    <row r="300">
      <c r="A300" t="str">
        <v>YFF020</v>
      </c>
      <c r="B300" t="str">
        <v>Ud</v>
      </c>
      <c r="C300" t="str">
        <v xml:space="preserve">         Hora de charla para formación de Seguridad y Salud en el Trabajo</v>
      </c>
      <c r="D300" s="2">
        <v>1</v>
      </c>
      <c r="E300" s="1">
        <v>32.34</v>
      </c>
      <c r="F300" s="1">
        <f>D300*E300</f>
      </c>
    </row>
    <row r="301">
      <c r="A301" t="str">
        <v>YI</v>
      </c>
      <c r="B301" t="str">
        <v/>
      </c>
      <c r="C301" t="str">
        <v xml:space="preserve">      Equipos de protección individual</v>
      </c>
      <c r="D301" t="str">
        <v/>
      </c>
      <c r="E301" t="str">
        <v/>
      </c>
      <c r="F301" s="1">
        <f>F302+F303+F304+F305+F306+F307+F308+F309+F310+F311+F312+F313+F314+F315+F316+F317+F318+F319+F320</f>
      </c>
    </row>
    <row r="302">
      <c r="A302" t="str">
        <v>YIC010</v>
      </c>
      <c r="B302" t="str">
        <v>Ud</v>
      </c>
      <c r="C302" t="str">
        <v xml:space="preserve">         Casco de protección, amortizable en 10 usos.</v>
      </c>
      <c r="D302" s="2">
        <v>8</v>
      </c>
      <c r="E302" s="1">
        <v>0.09300000000000001</v>
      </c>
      <c r="F302" s="1">
        <f>D302*E302</f>
      </c>
    </row>
    <row r="303">
      <c r="A303" t="str">
        <v>YID020b</v>
      </c>
      <c r="B303" t="str">
        <v>Ud</v>
      </c>
      <c r="C303" t="str">
        <v xml:space="preserve">         Sistema de sujeción y retención</v>
      </c>
      <c r="D303" s="2">
        <v>1</v>
      </c>
      <c r="E303" s="1">
        <v>22.947699999999998</v>
      </c>
      <c r="F303" s="1">
        <f>D303*E303</f>
      </c>
    </row>
    <row r="304">
      <c r="A304" t="str">
        <v>YIJ010</v>
      </c>
      <c r="B304" t="str">
        <v>Ud</v>
      </c>
      <c r="C304" t="str">
        <v xml:space="preserve">         Gafas de protección con montura integral</v>
      </c>
      <c r="D304" s="2">
        <v>1</v>
      </c>
      <c r="E304" s="1">
        <v>1.444</v>
      </c>
      <c r="F304" s="1">
        <f>D304*E304</f>
      </c>
    </row>
    <row r="305">
      <c r="A305" t="str">
        <v>YIJ010c</v>
      </c>
      <c r="B305" t="str">
        <v>Ud</v>
      </c>
      <c r="C305" t="str">
        <v xml:space="preserve">         Pantalla de protección facial</v>
      </c>
      <c r="D305" s="2">
        <v>1</v>
      </c>
      <c r="E305" s="1">
        <v>1.6460000000000001</v>
      </c>
      <c r="F305" s="1">
        <f>D305*E305</f>
      </c>
    </row>
    <row r="306">
      <c r="A306" t="str">
        <v>YIM010</v>
      </c>
      <c r="B306" t="str">
        <v>Ud</v>
      </c>
      <c r="C306" t="str">
        <v xml:space="preserve">         Par de guantes contra riesgos mecánicos</v>
      </c>
      <c r="D306" s="2">
        <v>12</v>
      </c>
      <c r="E306" s="1">
        <v>1.3725</v>
      </c>
      <c r="F306" s="1">
        <f>D306*E306</f>
      </c>
    </row>
    <row r="307">
      <c r="A307" t="str">
        <v>YIM010b</v>
      </c>
      <c r="B307" t="str">
        <v>Ud</v>
      </c>
      <c r="C307" t="str">
        <v xml:space="preserve">         Par de guantes para trabajos eléctricos de baja tensión</v>
      </c>
      <c r="D307" s="2">
        <v>4</v>
      </c>
      <c r="E307" s="1">
        <v>4.2525</v>
      </c>
      <c r="F307" s="1">
        <f>D307*E307</f>
      </c>
    </row>
    <row r="308">
      <c r="A308" t="str">
        <v>YIM040</v>
      </c>
      <c r="B308" t="str">
        <v>Ud</v>
      </c>
      <c r="C308" t="str">
        <v xml:space="preserve">         Protector de manos para puntero, amortizable en 4 usos.</v>
      </c>
      <c r="D308" s="2">
        <v>1</v>
      </c>
      <c r="E308" s="1">
        <v>0.3375</v>
      </c>
      <c r="F308" s="1">
        <f>D308*E308</f>
      </c>
    </row>
    <row r="309">
      <c r="A309" t="str">
        <v>YIO010</v>
      </c>
      <c r="B309" t="str">
        <v>Ud</v>
      </c>
      <c r="C309" t="str">
        <v xml:space="preserve">         Juego de orejeras, estándar, con atenuación acústica</v>
      </c>
      <c r="D309" s="2">
        <v>5</v>
      </c>
      <c r="E309" s="1">
        <v>0.397</v>
      </c>
      <c r="F309" s="1">
        <f>D309*E309</f>
      </c>
    </row>
    <row r="310">
      <c r="A310" t="str">
        <v>YIO020</v>
      </c>
      <c r="B310" t="str">
        <v>Ud</v>
      </c>
      <c r="C310" t="str">
        <v xml:space="preserve">         Juego de tapones desechables</v>
      </c>
      <c r="D310" s="2">
        <v>2</v>
      </c>
      <c r="E310" s="1">
        <v>0.01</v>
      </c>
      <c r="F310" s="1">
        <f>D310*E310</f>
      </c>
    </row>
    <row r="311">
      <c r="A311" t="str">
        <v>YIP010</v>
      </c>
      <c r="B311" t="str">
        <v>Ud</v>
      </c>
      <c r="C311" t="str">
        <v xml:space="preserve">         Par de botas de media caña de trabajo</v>
      </c>
      <c r="D311" s="2">
        <v>2</v>
      </c>
      <c r="E311" s="1">
        <v>6.98</v>
      </c>
      <c r="F311" s="1">
        <f>D311*E311</f>
      </c>
    </row>
    <row r="312">
      <c r="A312" t="str">
        <v>YIP010b</v>
      </c>
      <c r="B312" t="str">
        <v>Ud</v>
      </c>
      <c r="C312" t="str">
        <v xml:space="preserve">         Par de botas bajas de trabajo</v>
      </c>
      <c r="D312" s="2">
        <v>6</v>
      </c>
      <c r="E312" s="1">
        <v>6.98</v>
      </c>
      <c r="F312" s="1">
        <f>D312*E312</f>
      </c>
    </row>
    <row r="313">
      <c r="A313" t="str">
        <v>YIP020</v>
      </c>
      <c r="B313" t="str">
        <v>Ud</v>
      </c>
      <c r="C313" t="str">
        <v xml:space="preserve">         Par de polainas para extinción de incendios, amortizable en 3 us</v>
      </c>
      <c r="D313" s="2">
        <v>1</v>
      </c>
      <c r="E313" s="1">
        <v>9.2829</v>
      </c>
      <c r="F313" s="1">
        <f>D313*E313</f>
      </c>
    </row>
    <row r="314">
      <c r="A314" t="str">
        <v>YIP030</v>
      </c>
      <c r="B314" t="str">
        <v>Ud</v>
      </c>
      <c r="C314" t="str">
        <v xml:space="preserve">         Par de plantillas resistentes a la perforación, amortizable en 1</v>
      </c>
      <c r="D314" s="2">
        <v>6</v>
      </c>
      <c r="E314" s="1">
        <v>2.66</v>
      </c>
      <c r="F314" s="1">
        <f>D314*E314</f>
      </c>
    </row>
    <row r="315">
      <c r="A315" t="str">
        <v>YIU020</v>
      </c>
      <c r="B315" t="str">
        <v>Ud</v>
      </c>
      <c r="C315" t="str">
        <v xml:space="preserve">         Mono de protección para trabajos expuestos a la lluvia, amortiza</v>
      </c>
      <c r="D315" s="2">
        <v>6</v>
      </c>
      <c r="E315" s="1">
        <v>2.384</v>
      </c>
      <c r="F315" s="1">
        <f>D315*E315</f>
      </c>
    </row>
    <row r="316">
      <c r="A316" t="str">
        <v>YIU030</v>
      </c>
      <c r="B316" t="str">
        <v>Ud</v>
      </c>
      <c r="C316" t="str">
        <v xml:space="preserve">         Chaleco de alta visibilidad, de material reflectante, amortizabl</v>
      </c>
      <c r="D316" s="2">
        <v>4</v>
      </c>
      <c r="E316" s="1">
        <v>1.866</v>
      </c>
      <c r="F316" s="1">
        <f>D316*E316</f>
      </c>
    </row>
    <row r="317">
      <c r="A317" t="str">
        <v>YIU040</v>
      </c>
      <c r="B317" t="str">
        <v>Ud</v>
      </c>
      <c r="C317" t="str">
        <v xml:space="preserve">         Bolsa portaherramientas, amortizable en 10 usos.</v>
      </c>
      <c r="D317" s="2">
        <v>2</v>
      </c>
      <c r="E317" s="1">
        <v>0.9880000000000001</v>
      </c>
      <c r="F317" s="1">
        <f>D317*E317</f>
      </c>
    </row>
    <row r="318">
      <c r="A318" t="str">
        <v>YIU050</v>
      </c>
      <c r="B318" t="str">
        <v>Ud</v>
      </c>
      <c r="C318" t="str">
        <v xml:space="preserve">         Faja de protección lumbar, amortizable en 4 usos.</v>
      </c>
      <c r="D318" s="2">
        <v>4</v>
      </c>
      <c r="E318" s="1">
        <v>1.9425</v>
      </c>
      <c r="F318" s="1">
        <f>D318*E318</f>
      </c>
    </row>
    <row r="319">
      <c r="A319" t="str">
        <v>YIV010</v>
      </c>
      <c r="B319" t="str">
        <v>Ud</v>
      </c>
      <c r="C319" t="str">
        <v xml:space="preserve">         Equipo de protección respiratoria</v>
      </c>
      <c r="D319" s="2">
        <v>1</v>
      </c>
      <c r="E319" s="1">
        <v>3.5343</v>
      </c>
      <c r="F319" s="1">
        <f>D319*E319</f>
      </c>
    </row>
    <row r="320">
      <c r="A320" t="str">
        <v>YIV020</v>
      </c>
      <c r="B320" t="str">
        <v>Ud</v>
      </c>
      <c r="C320" t="str">
        <v xml:space="preserve">         Mascarilla autofiltrante contra partículas, FFP1, amortizable en</v>
      </c>
      <c r="D320" s="2">
        <v>1</v>
      </c>
      <c r="E320" s="1">
        <v>0.67</v>
      </c>
      <c r="F320" s="1">
        <f>D320*E320</f>
      </c>
    </row>
    <row r="321">
      <c r="A321" t="str">
        <v>YM</v>
      </c>
      <c r="B321" t="str">
        <v/>
      </c>
      <c r="C321" t="str">
        <v xml:space="preserve">      Medicina preventiva y primeros auxilios</v>
      </c>
      <c r="D321" t="str">
        <v/>
      </c>
      <c r="E321" t="str">
        <v/>
      </c>
      <c r="F321" s="1">
        <f>F322+F323+F324+F325</f>
      </c>
    </row>
    <row r="322">
      <c r="A322" t="str">
        <v>YMM010</v>
      </c>
      <c r="B322" t="str">
        <v>Ud</v>
      </c>
      <c r="C322" t="str">
        <v xml:space="preserve">         Botiquín de urgencia en caseta de obra.</v>
      </c>
      <c r="D322" s="2">
        <v>1</v>
      </c>
      <c r="E322" s="1">
        <v>40.567600000000006</v>
      </c>
      <c r="F322" s="1">
        <f>D322*E322</f>
      </c>
    </row>
    <row r="323">
      <c r="A323" t="str">
        <v>YMM011</v>
      </c>
      <c r="B323" t="str">
        <v>Ud</v>
      </c>
      <c r="C323" t="str">
        <v xml:space="preserve">         Reposición de material de botiquín de urgencia en caseta de obra</v>
      </c>
      <c r="D323" s="2">
        <v>1</v>
      </c>
      <c r="E323" s="1">
        <v>40.43</v>
      </c>
      <c r="F323" s="1">
        <f>D323*E323</f>
      </c>
    </row>
    <row r="324">
      <c r="A324" t="str">
        <v>YMM020</v>
      </c>
      <c r="B324" t="str">
        <v>Ud</v>
      </c>
      <c r="C324" t="str">
        <v xml:space="preserve">         Camilla portátil para evacuaciones.</v>
      </c>
      <c r="D324" s="2">
        <v>1</v>
      </c>
      <c r="E324" s="1">
        <v>14.5975</v>
      </c>
      <c r="F324" s="1">
        <f>D324*E324</f>
      </c>
    </row>
    <row r="325">
      <c r="A325" t="str">
        <v>YMR010</v>
      </c>
      <c r="B325" t="str">
        <v>Ud</v>
      </c>
      <c r="C325" t="str">
        <v xml:space="preserve">         Reconocimiento médico anual al trabajador.</v>
      </c>
      <c r="D325" s="2">
        <v>2</v>
      </c>
      <c r="E325" s="1">
        <v>41.97</v>
      </c>
      <c r="F325" s="1">
        <f>D325*E325</f>
      </c>
    </row>
    <row r="326">
      <c r="A326" t="str">
        <v>YP</v>
      </c>
      <c r="B326" t="str">
        <v/>
      </c>
      <c r="C326" t="str">
        <v xml:space="preserve">      Instalaciones provisionales de higiene y bienestar</v>
      </c>
      <c r="D326" t="str">
        <v/>
      </c>
      <c r="E326" t="str">
        <v/>
      </c>
      <c r="F326" s="1">
        <f>F327</f>
      </c>
    </row>
    <row r="327">
      <c r="A327" t="str">
        <v>YPC210</v>
      </c>
      <c r="B327" t="str">
        <v>m²</v>
      </c>
      <c r="C327" t="str">
        <v xml:space="preserve">         Adaptación de local existente como caseta provisional para aseos</v>
      </c>
      <c r="D327" s="2">
        <v>2</v>
      </c>
      <c r="E327" s="1">
        <v>72.79</v>
      </c>
      <c r="F327" s="1">
        <f>D327*E327</f>
      </c>
    </row>
    <row r="328">
      <c r="A328" t="str">
        <v>YS</v>
      </c>
      <c r="B328" t="str">
        <v/>
      </c>
      <c r="C328" t="str">
        <v xml:space="preserve">      Señalización provisional de obras</v>
      </c>
      <c r="D328" t="str">
        <v/>
      </c>
      <c r="E328" t="str">
        <v/>
      </c>
      <c r="F328" s="1">
        <f>F329+F330+F331+F332+F333</f>
      </c>
    </row>
    <row r="329">
      <c r="A329" t="str">
        <v>YSB050</v>
      </c>
      <c r="B329" t="str">
        <v>m</v>
      </c>
      <c r="C329" t="str">
        <v xml:space="preserve">         Cinta para balizamiento</v>
      </c>
      <c r="D329" s="2">
        <v>75.89</v>
      </c>
      <c r="E329" s="1">
        <v>0.45210000000000006</v>
      </c>
      <c r="F329" s="1">
        <f>D329*E329</f>
      </c>
    </row>
    <row r="330">
      <c r="A330" t="str">
        <v>YSV010</v>
      </c>
      <c r="B330" t="str">
        <v>Ud</v>
      </c>
      <c r="C330" t="str">
        <v xml:space="preserve">         Señal provisional de obra de</v>
      </c>
      <c r="D330" s="2">
        <v>1</v>
      </c>
      <c r="E330" s="1">
        <v>5.9253</v>
      </c>
      <c r="F330" s="1">
        <f>D330*E330</f>
      </c>
    </row>
    <row r="331">
      <c r="A331" t="str">
        <v>YSN010</v>
      </c>
      <c r="B331" t="str">
        <v>Ud</v>
      </c>
      <c r="C331" t="str">
        <v xml:space="preserve">         Banderín para señalización</v>
      </c>
      <c r="D331" s="2">
        <v>45.54</v>
      </c>
      <c r="E331" s="1">
        <v>0.7157</v>
      </c>
      <c r="F331" s="1">
        <f>D331*E331</f>
      </c>
    </row>
    <row r="332">
      <c r="A332" t="str">
        <v>YSS020</v>
      </c>
      <c r="B332" t="str">
        <v>Ud</v>
      </c>
      <c r="C332" t="str">
        <v xml:space="preserve">         Cartel general indicativo de riesgos</v>
      </c>
      <c r="D332" s="2">
        <v>1</v>
      </c>
      <c r="E332" s="1">
        <v>2.7726</v>
      </c>
      <c r="F332" s="1">
        <f>D332*E332</f>
      </c>
    </row>
    <row r="333">
      <c r="A333" t="str">
        <v>YSS030</v>
      </c>
      <c r="B333" t="str">
        <v>Ud</v>
      </c>
      <c r="C333" t="str">
        <v xml:space="preserve">         Señal de advertencia</v>
      </c>
      <c r="D333" s="2">
        <v>1</v>
      </c>
      <c r="E333" s="1">
        <v>1.4271</v>
      </c>
      <c r="F333" s="1">
        <f>D333*E333</f>
      </c>
    </row>
    <row r="334">
      <c r="A334" t="str">
        <v>15</v>
      </c>
      <c r="B334" t="str">
        <v/>
      </c>
      <c r="C334" t="str">
        <v xml:space="preserve">   Cierre de parcela</v>
      </c>
      <c r="D334" t="str">
        <v/>
      </c>
      <c r="E334" t="str">
        <v/>
      </c>
      <c r="F334" s="1">
        <f>F335+F336</f>
      </c>
    </row>
    <row r="335">
      <c r="A335" t="str">
        <v>UVT010</v>
      </c>
      <c r="B335" t="str">
        <v>m</v>
      </c>
      <c r="C335" t="str">
        <v xml:space="preserve">      Cerramiento de parcela formado por malla de simple torsión</v>
      </c>
      <c r="D335" s="2">
        <v>100</v>
      </c>
      <c r="E335" s="1">
        <v>13.485499999999998</v>
      </c>
      <c r="F335" s="1">
        <f>D335*E335</f>
      </c>
    </row>
    <row r="336">
      <c r="A336" t="str">
        <v>Pa8</v>
      </c>
      <c r="B336" t="str">
        <v>ud</v>
      </c>
      <c r="C336" t="str">
        <v xml:space="preserve">      Reparacion de cierre existente</v>
      </c>
      <c r="D336" s="2">
        <v>1</v>
      </c>
      <c r="E336" s="1">
        <v>0</v>
      </c>
      <c r="F336" s="1">
        <f>D336*E336</f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